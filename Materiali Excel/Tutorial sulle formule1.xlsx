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66925"/>
  <xr:revisionPtr revIDLastSave="0" documentId="13_ncr:19_{5021DFA6-40B9-4832-8E73-238AE3F9158E}" xr6:coauthVersionLast="47" xr6:coauthVersionMax="47" xr10:uidLastSave="{00000000-0000-0000-0000-000000000000}"/>
  <bookViews>
    <workbookView xWindow="-120" yWindow="-120" windowWidth="29040" windowHeight="17520" tabRatio="927" activeTab="5" xr2:uid="{00000000-000D-0000-FFFF-FFFF00000000}"/>
  </bookViews>
  <sheets>
    <sheet name="Inizio" sheetId="2" r:id="rId1"/>
    <sheet name="Concetti di base" sheetId="19" r:id="rId2"/>
    <sheet name="Introduzione alle funzioni" sheetId="16" r:id="rId3"/>
    <sheet name="MEDIA" sheetId="1" r:id="rId4"/>
    <sheet name="MIN e MAX" sheetId="11" r:id="rId5"/>
    <sheet name="Data e ora" sheetId="10" r:id="rId6"/>
    <sheet name="Unire testo e numeri" sheetId="15" r:id="rId7"/>
    <sheet name="Istruzioni SE" sheetId="13" r:id="rId8"/>
    <sheet name="CERCA.VERT" sheetId="9" r:id="rId9"/>
    <sheet name="Funzioni condizionali" sheetId="7" r:id="rId10"/>
    <sheet name="Creazione guidata Funzione" sheetId="20" r:id="rId11"/>
    <sheet name="Errori nelle formule" sheetId="21" r:id="rId12"/>
    <sheet name="Altre informazioni" sheetId="17" r:id="rId13"/>
  </sheets>
  <definedNames>
    <definedName name="_xlnm._FilterDatabase" localSheetId="1" hidden="1">'Concetti di base'!$P$9:$Q$10</definedName>
    <definedName name="_xlnm._FilterDatabase" localSheetId="9" hidden="1">'Funzioni condizionali'!$F$2:$H$14</definedName>
    <definedName name="AltraFrutta" localSheetId="2">'Introduzione alle funzioni'!$C$34:$D$39</definedName>
    <definedName name="AltriArticoli" localSheetId="2">'Introduzione alle funzioni'!$C$44:$D$48</definedName>
    <definedName name="Arance">tbl_FruitType4[Arance]</definedName>
    <definedName name="Articoli" localSheetId="2">'Introduzione alle funzioni'!$C$9:$D$14</definedName>
    <definedName name="Banane">tbl_FruitType6[Banane]</definedName>
    <definedName name="Carne" localSheetId="2">'Introduzione alle funzioni'!$F$2:$G$6</definedName>
    <definedName name="CreditoExtra" localSheetId="2">'Introduzione alle funzioni'!$F$9:$G$14</definedName>
    <definedName name="_xlnm.Extract" localSheetId="9">'Funzioni condizionali'!$AB$2</definedName>
    <definedName name="Frutta" localSheetId="2">'Introduzione alle funzioni'!$C$2:$D$6</definedName>
    <definedName name="grp_WalkMeArrows">"shp_ArrowCurved,txt_WalkMeArrows,shp_ArrowStraight"</definedName>
    <definedName name="grp_WalkMeBrace">"shp_BraceBottom,txt_WalkMeBrace,shp_BraceLeft"</definedName>
    <definedName name="IVA">0.0825</definedName>
    <definedName name="Limoni">tbl_FruitType5[Limoni]</definedName>
    <definedName name="lst_Fruit">tbl_Fruit[Frutta]</definedName>
    <definedName name="lst_FruitType">tbl_FruitType[Mele]</definedName>
    <definedName name="Mele">tbl_FruitType[Mele]</definedName>
    <definedName name="SOMMACreditoExtra" localSheetId="2">'Introduzione alle funzioni'!$F$9:$G$14</definedName>
    <definedName name="Spedizione">1.25</definedName>
    <definedName name="Totale" localSheetId="2">'Introduzione alle funzioni'!$D$50:$D$51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6" i="10" l="1"/>
  <c r="F29" i="13" l="1"/>
  <c r="F28" i="13"/>
  <c r="A4" i="7" l="1"/>
  <c r="F31" i="13" l="1"/>
  <c r="D12" i="13"/>
  <c r="E106" i="7" l="1"/>
  <c r="D36" i="10" l="1"/>
  <c r="A38" i="7"/>
  <c r="D10" i="20"/>
  <c r="G51" i="16"/>
  <c r="D7" i="16"/>
  <c r="G7" i="19"/>
  <c r="D8" i="10"/>
  <c r="D9" i="21"/>
  <c r="J43" i="19"/>
  <c r="F35" i="13"/>
  <c r="G6" i="19"/>
  <c r="G5" i="19"/>
  <c r="G4" i="19"/>
  <c r="G3" i="19"/>
  <c r="G43" i="9"/>
  <c r="D43" i="9"/>
  <c r="F3" i="15"/>
  <c r="E3" i="15"/>
  <c r="H64" i="7"/>
  <c r="D64" i="7"/>
  <c r="D123" i="7"/>
  <c r="D51" i="16"/>
  <c r="G15" i="11"/>
  <c r="D39" i="16"/>
  <c r="D29" i="15"/>
  <c r="C37" i="15" s="1"/>
  <c r="D28" i="15"/>
  <c r="D11" i="10"/>
  <c r="E31" i="13"/>
  <c r="D36" i="21"/>
  <c r="C33" i="15" l="1"/>
  <c r="C32" i="15"/>
  <c r="C36" i="15"/>
  <c r="F33" i="13"/>
  <c r="F37" i="13" s="1"/>
</calcChain>
</file>

<file path=xl/sharedStrings.xml><?xml version="1.0" encoding="utf-8"?>
<sst xmlns="http://schemas.openxmlformats.org/spreadsheetml/2006/main" count="624" uniqueCount="303">
  <si>
    <t>Guida introduttiva alle formule</t>
  </si>
  <si>
    <t>Per tornare all'inizio, premi CTRL+HOME. Per iniziare il tour, premi CTRL+PGGIÙ.</t>
  </si>
  <si>
    <t>Concetti di base: matematica con Excel</t>
  </si>
  <si>
    <t xml:space="preserve">In Excel si può sommare, sottrarre, moltiplicare e dividere senza usare le funzioni predefinite. Basta usare alcuni operatori di base: +, -, *, /. Tutte le formule iniziano con un segno di uguale (=).
</t>
  </si>
  <si>
    <t xml:space="preserve">Per sommare, seleziona la cella F3, digita =C3+C4, quindi premi INVIO. 
</t>
  </si>
  <si>
    <t xml:space="preserve">Per sottrarre, seleziona la cella F4, digita =C3-C4, quindi premi INVIO. </t>
  </si>
  <si>
    <t xml:space="preserve">Per moltiplicare, seleziona la cella F5, digita =C3*C4, quindi premi INVIO.
</t>
  </si>
  <si>
    <t xml:space="preserve">Per dividere, seleziona la cella F6, digita =C3/C4, quindi premi INVIO.
</t>
  </si>
  <si>
    <t>Prova: cambia i numeri nelle celle C3 e C4 e osserva come i risultati delle formule cambiano automaticamente.</t>
  </si>
  <si>
    <t>CREDITO EXTRA: Per elevare un valore a una potenza, usa il simbolo dell'accento circonflesso (^), ad esempio =A1^A2. Per immetterlo, premi MAIUSC+ì. Nella cella F7 immetti =C3^C4.</t>
  </si>
  <si>
    <t>Altri dettagli</t>
  </si>
  <si>
    <t>Passaggio successivo</t>
  </si>
  <si>
    <t>Altre informazioni su formule, celle e intervalli</t>
  </si>
  <si>
    <t xml:space="preserve">Excel è costituito da singole celle raggruppate in righe e colonne. Le righe sono numerate, le colonne sono identificate da lettere. Sono presenti più di 1 milione di righe e 16.000 colonne e si possono inserire formule in qualsiasi di esse. 
</t>
  </si>
  <si>
    <t xml:space="preserve">Le formule possono contenere riferimenti di cella, intervalli di riferimenti di cella, operatori e costanti. Ecco alcuni esempi di formule:
=A1+B1
=10+20
=SOMMA(A1:A10)
</t>
  </si>
  <si>
    <t xml:space="preserve">Nel terzo esempio abbiamo usato la funzione SOMMA. Una funzione è un comando predefinito che prende uno o più valori, li calcola in un certo modo e restituisce un risultato. Ad esempio, la funzione SOMMA prende i riferimenti di cella o gli intervalli di celle specificati e ne calcola il totale. In questo esempio prende le celle da A1 a A10 e ne calcola il totale. Excel include più di 400 funzioni, disponibili nella scheda Formule.
</t>
  </si>
  <si>
    <t xml:space="preserve">Le formule con funzioni iniziano con un segno di uguale, seguito dal nome della funzione con i relativi argomenti (i valori usati dalla funzione per il calcolo) racchiusi tra parentesi. 
</t>
  </si>
  <si>
    <t xml:space="preserve">Per confermare una formula bisogna premere INVIO. A questo punto viene eseguito il calcolo della formula e nella cella viene visualizzato il risultato. Per vedere la formula vera e propria, osserva la barra della formula sotto la barra multifunzione oppure premi F2 per attivare la modalità di modifica, che consente di visualizzare la formula nella cella. Premi di nuovo INVIO per completare la formula e calcolare il risultato.
</t>
  </si>
  <si>
    <t>Alcune spiegazioni sulle formule</t>
  </si>
  <si>
    <t>=SOMMA(A1:A10) è una formula in cui SOMMA è il nome della funzione, le parentesi di apertura e chiusura racchiudono gli argomenti della formula e A1:A10 è l'intervallo di celle per la funzione.</t>
  </si>
  <si>
    <t>=SOMMA(A1:A10;C1:C10) è una formula in cui SOMMA è il nome della funzione, le parentesi di apertura e chiusura racchiudono gli argomenti della formula e A1:A10;C1:C10 sono gli intervalli di celle per la funzione separati da un punto e virgola.</t>
  </si>
  <si>
    <t xml:space="preserve">INFORMAZIONI UTILI: Le costanti sono i valori che vengono immessi nelle celle o nelle formule. Anche se =10+20 può produrre lo stesso risultato di =A1+B1, è buona norma evitare le costanti. Perché? Poiché per vedere una costante può essere necessario selezionare la cella e cercarla. Di conseguenza può risultare difficile da cambiare in un secondo momento. È molto più semplice inserire le costanti nelle celle, dove possono essere modificate facilmente e aggiunte alle formule mediante riferimento.
Ad esempio: seleziona la cella gialla con il numero 12 qui sotto. Come vedi, abbiamo usato la funzione SOMMA con un intervallo di celle. Non abbiamo digitato "4" o "8" direttamente nella formula. 
</t>
  </si>
  <si>
    <t>Indietro</t>
  </si>
  <si>
    <t>Avanti</t>
  </si>
  <si>
    <t>Altre informazioni sul Web</t>
  </si>
  <si>
    <t>Usare Excel come calcolatrice</t>
  </si>
  <si>
    <t>Panoramica delle formule in Excel</t>
  </si>
  <si>
    <t xml:space="preserve">Funzioni di Excel (in base alla categoria) </t>
  </si>
  <si>
    <t>Funzioni di Excel (in ordine alfabetico) </t>
  </si>
  <si>
    <t>Formazione gratuita su Excel disponibile online</t>
  </si>
  <si>
    <t>Numeri da usare:</t>
  </si>
  <si>
    <t>Operazione:</t>
  </si>
  <si>
    <t xml:space="preserve">Addizione (+) </t>
  </si>
  <si>
    <t xml:space="preserve">Sottrazione (-) </t>
  </si>
  <si>
    <t xml:space="preserve">Moltiplicazione (*) </t>
  </si>
  <si>
    <t xml:space="preserve">Divisione (/) </t>
  </si>
  <si>
    <t xml:space="preserve">Potenza (^) </t>
  </si>
  <si>
    <t>Formule:</t>
  </si>
  <si>
    <t>Risposte:</t>
  </si>
  <si>
    <t>Valori</t>
  </si>
  <si>
    <t>Introduzione alle funzioni</t>
  </si>
  <si>
    <t>Con le funzioni si possono svolgere molte azioni, ad esempio eseguire operazioni matematiche, cercare valori o persino calcolare date e ore. Proviamo a sommare valori in diversi modi con la funzione SOMMA.</t>
  </si>
  <si>
    <t xml:space="preserve">Nella colonna Quantità per Frutta (cella D7), immetti =SOMMA(D3:D6) oppure digita =SOMMA( e seleziona l'intervallo con il mouse, quindi premi INVIO. Vengono sommati i valori presenti nelle D3, D4, D5 e D6. La risposta dovrebbe essere 170.
</t>
  </si>
  <si>
    <t xml:space="preserve">Ora proviamo Somma automatica. Seleziona la cella sotto la colonna relativa a Carne (cella G7), quindi passa a Formule &gt; Somma automatica e seleziona SOMMA. La formula verrà inserita automaticamente. Premi INVIO per confermarla. La funzionalità Somma automatica ha tutte le funzioni più comuni.
</t>
  </si>
  <si>
    <t>Ecco una scelta rapida da tastiera specifica. Seleziona la cella D15, premi ALT= e quindi INVIO. La funzione SOMMA viene immessa automaticamente.</t>
  </si>
  <si>
    <t>CREDITO EXTRA
Prova a usare la funzione CONTA.NUMERI con uno dei metodi già sperimentati. La funzione CONTA.NUMERI conta il numero di celle che contengono numeri all'interno di un intervallo.</t>
  </si>
  <si>
    <t>Altre informazioni sulle funzioni</t>
  </si>
  <si>
    <t>Passa alla scheda Formule e scorri la Libreria di funzioni, in cui le funzioni sono elencate per categoria, ad esempio Testo, Data e ora e così via. Inserisci funzione consente di cercare le funzioni per nome e avviare una procedura guidata per creare la formula. 
Quando inizi a digitare il nome di una funzione dopo aver premuto =, Excel avvia Intellisense, che elenca tutte le funzioni che iniziano con le lettere digitate. Quando trovi quella che vuoi, premi TAB. Excel completa automaticamente il nome della funzione e inserisce la parentesi di apertura. Mostra anche gli argomenti facoltativi e obbligatori. 
Esaminiamo in dettaglio alcune funzioni. La funzione SOMMA è strutturata in questo modo:</t>
  </si>
  <si>
    <t xml:space="preserve">Se la funzione SOMMA potesse parlare, direbbe: "Restituisci la somma di tutti i valori nelle celle da D35 a D38 e tutta la colonna H". SOMMA è il nome della funzione, D35:D38 è il primo argomento intervallo, che in genere è necessario, e H:H è il secondo argomento intervallo; i due sono separati da una virgola. Ora proviamone una che non richiede argomenti.
</t>
  </si>
  <si>
    <t>La funzione OGGI restituisce la data corrente. Viene aggiornata automaticamente quando Excel ricalcola.</t>
  </si>
  <si>
    <t xml:space="preserve">GUARDA QUI
Seleziona queste celle. Nell'angolo in basso a destra della finestra di Excel troverai SOMMA: 170 nella barra inferiore. Si chiama Barra di stato e rappresenta semplicemente un altro modo per trovare rapidamente un totale e altri dettagli su una cella o un intervallo. </t>
  </si>
  <si>
    <t xml:space="preserve">DETTAGLIO IMPORTANTE
Fai doppio clic in questa cella. Noterai il valore 100 verso la fine. Anche se è possibile inserire numeri in una formula come questa, non è consigliabile farlo a meno che non sia assolutamente necessario. Si tratta di un valore costante ed è facile dimenticarsi della sua presenza. È preferibile fare riferimento a un'altra cella, come la cella F51. In questo modo sarà più visibile e non nascosto all'interno di una formula. </t>
  </si>
  <si>
    <t>Informazioni complete sulla funzione SOMMA</t>
  </si>
  <si>
    <t>Usare Somma automatica per sommare numeri</t>
  </si>
  <si>
    <t>Informazioni complete sulla funzione CONTA.NUMERI</t>
  </si>
  <si>
    <t>Torna all'inizio</t>
  </si>
  <si>
    <t>Frutta</t>
  </si>
  <si>
    <t>Mele</t>
  </si>
  <si>
    <t>Arance</t>
  </si>
  <si>
    <t>Banane</t>
  </si>
  <si>
    <t>Limoni</t>
  </si>
  <si>
    <t xml:space="preserve">SOMMA &gt; </t>
  </si>
  <si>
    <t>Articolo</t>
  </si>
  <si>
    <t>Pane</t>
  </si>
  <si>
    <t>Ciambelle</t>
  </si>
  <si>
    <t>Biscotti</t>
  </si>
  <si>
    <t>Torte</t>
  </si>
  <si>
    <t>Crostate</t>
  </si>
  <si>
    <t>Automobili</t>
  </si>
  <si>
    <t>Autocarri</t>
  </si>
  <si>
    <t>Biciclette</t>
  </si>
  <si>
    <t>Pattini</t>
  </si>
  <si>
    <t>Quantità</t>
  </si>
  <si>
    <t>Totale:</t>
  </si>
  <si>
    <t>Carne</t>
  </si>
  <si>
    <t>Manzo</t>
  </si>
  <si>
    <t>Pollo</t>
  </si>
  <si>
    <t>Maiale</t>
  </si>
  <si>
    <t>Pesce</t>
  </si>
  <si>
    <t>Valore aggiuntivo</t>
  </si>
  <si>
    <t>Nuovo totale</t>
  </si>
  <si>
    <t>Funzione MEDIA</t>
  </si>
  <si>
    <r>
      <t xml:space="preserve">La funzione </t>
    </r>
    <r>
      <rPr>
        <b/>
        <sz val="11"/>
        <color theme="0"/>
        <rFont val="Calibri"/>
        <family val="2"/>
      </rPr>
      <t>MEDIA</t>
    </r>
    <r>
      <rPr>
        <sz val="11"/>
        <color theme="0"/>
        <rFont val="Calibri"/>
        <family val="2"/>
      </rPr>
      <t xml:space="preserve"> consente di ottenere la media dei numeri in un intervallo di celle.</t>
    </r>
  </si>
  <si>
    <r>
      <t xml:space="preserve">Seleziona la cella D7, quindi usa </t>
    </r>
    <r>
      <rPr>
        <b/>
        <sz val="11"/>
        <color theme="0"/>
        <rFont val="Calibri"/>
        <family val="2"/>
      </rPr>
      <t>Somma automatica</t>
    </r>
    <r>
      <rPr>
        <sz val="11"/>
        <color theme="0"/>
        <rFont val="Calibri"/>
        <family val="2"/>
      </rPr>
      <t xml:space="preserve"> per aggiungere una funzione </t>
    </r>
    <r>
      <rPr>
        <b/>
        <sz val="11"/>
        <color theme="0"/>
        <rFont val="Calibri"/>
        <family val="2"/>
      </rPr>
      <t>MEDIA</t>
    </r>
    <r>
      <rPr>
        <sz val="11"/>
        <color theme="0"/>
        <rFont val="Calibri"/>
        <family val="2"/>
      </rPr>
      <t>.</t>
    </r>
  </si>
  <si>
    <r>
      <t xml:space="preserve">Ora seleziona la cella G7 e immetti una funzione </t>
    </r>
    <r>
      <rPr>
        <b/>
        <sz val="11"/>
        <color theme="0"/>
        <rFont val="Calibri"/>
        <family val="2"/>
      </rPr>
      <t>MEDIA</t>
    </r>
    <r>
      <rPr>
        <sz val="11"/>
        <color theme="0"/>
        <rFont val="Calibri"/>
        <family val="2"/>
      </rPr>
      <t xml:space="preserve"> digitando </t>
    </r>
    <r>
      <rPr>
        <b/>
        <sz val="11"/>
        <color theme="0"/>
        <rFont val="Calibri"/>
        <family val="2"/>
      </rPr>
      <t xml:space="preserve">=MEDIA(G3:G6). </t>
    </r>
  </si>
  <si>
    <r>
      <t xml:space="preserve">Nella cella D15 puoi usare la creazione guidata </t>
    </r>
    <r>
      <rPr>
        <b/>
        <sz val="11"/>
        <color theme="0"/>
        <rFont val="Calibri"/>
        <family val="2"/>
      </rPr>
      <t>Somma automatica</t>
    </r>
    <r>
      <rPr>
        <sz val="11"/>
        <color theme="0"/>
        <rFont val="Calibri"/>
        <family val="2"/>
      </rPr>
      <t xml:space="preserve"> oppure immettere manualmente una funzione </t>
    </r>
    <r>
      <rPr>
        <b/>
        <sz val="11"/>
        <color theme="0"/>
        <rFont val="Calibri"/>
        <family val="2"/>
      </rPr>
      <t>MEDIA</t>
    </r>
    <r>
      <rPr>
        <sz val="11"/>
        <color theme="0"/>
        <rFont val="Calibri"/>
        <family val="2"/>
      </rPr>
      <t xml:space="preserve">. </t>
    </r>
  </si>
  <si>
    <t xml:space="preserve">GUARDA QUI
Seleziona un intervallo di numeri, quindi osserva la media immediata riportata sulla barra di stato.
</t>
  </si>
  <si>
    <t>Attiva il foglio precedente</t>
  </si>
  <si>
    <t>Vai al foglio successivo</t>
  </si>
  <si>
    <t xml:space="preserve">CREDITO EXTRA
Prova a usare MEDIANA o MODA qui. 
MEDIANA fornisce il valore mediano del set di dati, mentre 
MODA fornisce quello con più occorrenze.
</t>
  </si>
  <si>
    <t>Collegamenti ad altre informazioni sul Web</t>
  </si>
  <si>
    <t>Seleziona per ottenere informazioni complete dal Web sulla funzione MEDIA</t>
  </si>
  <si>
    <t>Seleziona per ottenere informazioni complete dal Web sulla funzione MEDIANA</t>
  </si>
  <si>
    <t>Seleziona per ottenere informazioni complete dal Web sulla funzione MODA</t>
  </si>
  <si>
    <t>Seleziona per ottenere informazioni sulle risorse di formazione gratuita su Excel sul Web</t>
  </si>
  <si>
    <t>MEDIA &gt;</t>
  </si>
  <si>
    <t>Se la funzione SOMMA nella cella D42 potesse parlare, direbbe: Somma i valori nelle celle D38, D39, D40 e D41.</t>
  </si>
  <si>
    <t>Informazioni complete sulla funzione SOMMA.SE</t>
  </si>
  <si>
    <t>Funzioni MIN e MAX</t>
  </si>
  <si>
    <r>
      <t xml:space="preserve">La funzione </t>
    </r>
    <r>
      <rPr>
        <b/>
        <sz val="10"/>
        <color theme="0"/>
        <rFont val="Calibri"/>
        <family val="2"/>
        <scheme val="minor"/>
      </rPr>
      <t>MIN</t>
    </r>
    <r>
      <rPr>
        <sz val="10"/>
        <color theme="0"/>
        <rFont val="Calibri"/>
        <family val="2"/>
        <scheme val="minor"/>
      </rPr>
      <t xml:space="preserve"> consente di ottenere il numero minimo in un intervallo di celle.</t>
    </r>
  </si>
  <si>
    <r>
      <t xml:space="preserve">La funzione </t>
    </r>
    <r>
      <rPr>
        <b/>
        <sz val="10"/>
        <color theme="0"/>
        <rFont val="Calibri"/>
        <family val="2"/>
        <scheme val="minor"/>
      </rPr>
      <t>MAX</t>
    </r>
    <r>
      <rPr>
        <sz val="10"/>
        <color theme="0"/>
        <rFont val="Calibri"/>
        <family val="2"/>
        <scheme val="minor"/>
      </rPr>
      <t xml:space="preserve"> consente di ottenere il numero massimo in un intervallo di celle.</t>
    </r>
  </si>
  <si>
    <t xml:space="preserve">Seleziona la cella D7, quindi usa la procedura guidata Somma automatica per aggiungere una funzione MIN.
</t>
  </si>
  <si>
    <t xml:space="preserve">Nella cella D15 puoi usare la creazione guidata Somma automatica oppure immettere manualmente una funzione MIN o MAX. 
</t>
  </si>
  <si>
    <t xml:space="preserve">Altre informazioni sul Web
</t>
  </si>
  <si>
    <t>Informazioni complete sulla funzione MIN</t>
  </si>
  <si>
    <t xml:space="preserve">INFORMAZIONI UTILI
È possibile usare MIN o MAX con più intervalli o valori per visualizzare il maggiore o il minore di tali valori, ad esempio =MIN(A1:A10;B1:B10) oppure =MAX(A1:A10;B1), dove B1 contiene un valore soglia, come 10, nel qual caso la formula non restituirebbe mai un risultato inferiore a 10.
</t>
  </si>
  <si>
    <r>
      <t xml:space="preserve">È possibile usare </t>
    </r>
    <r>
      <rPr>
        <b/>
        <sz val="10"/>
        <color theme="0"/>
        <rFont val="Calibri"/>
        <family val="2"/>
        <scheme val="minor"/>
      </rPr>
      <t>MIN</t>
    </r>
    <r>
      <rPr>
        <sz val="10"/>
        <color theme="0"/>
        <rFont val="Calibri"/>
        <family val="2"/>
        <scheme val="minor"/>
      </rPr>
      <t xml:space="preserve"> o </t>
    </r>
    <r>
      <rPr>
        <b/>
        <sz val="10"/>
        <color theme="0"/>
        <rFont val="Calibri"/>
        <family val="2"/>
        <scheme val="minor"/>
      </rPr>
      <t>MAX</t>
    </r>
    <r>
      <rPr>
        <sz val="10"/>
        <color theme="0"/>
        <rFont val="Calibri"/>
        <family val="2"/>
        <scheme val="minor"/>
      </rPr>
      <t xml:space="preserve"> con più intervalli o valori per visualizzare il maggiore o il minore di tali valori, ad esempio =MIN(A1:A10;B1:B10) oppure =MAX(A1:A10;10).</t>
    </r>
  </si>
  <si>
    <t>MIN &gt;</t>
  </si>
  <si>
    <t>MIN o MAX &gt;</t>
  </si>
  <si>
    <t>MAX &gt;</t>
  </si>
  <si>
    <t>Funzioni di data</t>
  </si>
  <si>
    <t>Excel può fornire la data corrente, in base alle impostazioni internazionali del computer. È anche possibile sommare e sottrarre le date.</t>
  </si>
  <si>
    <t xml:space="preserve">Osserviamo la funzione OGGI, che visualizza la data corrente. Si tratta di funzioni attive, o volatili, per cui se la cartella di lavoro viene aperta domani, sarà visualizzata la data di domani. Immetti =OGGI() nella cella D6. 
</t>
  </si>
  <si>
    <t xml:space="preserve">Sottrarre date: immetti il tuo prossimo compleanno nel formato GG/MM/AA nella cella D7 e osserva come Excel ti indica il numero di giorni rimanenti usando =D7-D6 nella cella D8.
</t>
  </si>
  <si>
    <t xml:space="preserve">Sommare date: supponiamo di voler sapere la data di scadenza di una bolletta o quando devi restituire un libro alla biblioteca. Per scoprirlo, puoi aggiungere giorni a una data. Nella cella D10 immetti un numero casuale di giorni. Nella cella D11 abbiamo sommato =D6+D10 per calcolare la data di scadenza a partire da oggi.
</t>
  </si>
  <si>
    <t xml:space="preserve">INFORMAZIONI UTILI
Excel mantiene le date e le ore in base al numero di giorni a partire dal 1 gennaio 1900. Le ore vengono mantenute in parti frazionarie della giornata in base ai minuti. Quindi, 01/01/2017 12:30 in realtà è memorizzata come 42736,5208. Se la data o l'ora viene visualizzata sotto forma di numeri di questo tipo, premi CTRL+1 &gt; Numero e seleziona un formato Data o Ora. </t>
  </si>
  <si>
    <t xml:space="preserve">DETTAGLIO IMPORTANTE
Se non vuoi visualizzare un numero negativo perché non hai ancora immesso il tuo compleanno, puoi usare la funzione SE in questo modo: =SE(D7="";"";D7-D6), che indica "SE D7 è uguale a niente, non mostrare niente, altrimenti mostra D7 meno D6".
</t>
  </si>
  <si>
    <t>Funzioni di ora</t>
  </si>
  <si>
    <t xml:space="preserve">Excel può fornire l'ora corrente, in base alle impostazioni internazionali del computer. È anche possibile sommare e sottrarre le ore. Ad esempio, può essere necessario tenere traccia del numero di ore lavorate da un dipendente ogni settimana e calcolare la retribuzione e lo straordinario.
</t>
  </si>
  <si>
    <t xml:space="preserve">Nella cella D28 immetti =ADESSO(), che visualizza l'ora corrente e viene aggiornata ogni volta che Excel la calcola. Per cambiare il formato dell'ora, scegli CTRL+1 &gt; Numero &gt; Ora e seleziona il formato che preferisci.
</t>
  </si>
  <si>
    <t xml:space="preserve">Sommare le ore di diversi orari: nella cella D36 abbiamo immesso =((D35-D32)-(D34-D33))*24, che calcola le ore di inizio e fine di un dipendente e quindi sottrae il tempo trascorso a pranzo. La parte *24 alla fine della formula converte in ore la parte frazionaria della giornata usata da Excel. Sarà però necessario formattare la cella come Numero. A questo scopo, passa a Home &gt; Formato &gt; Celle (CTRL+1) &gt; Numero &gt; Numero &gt; 2 decimali.
</t>
  </si>
  <si>
    <t>Informazioni complete sulla funzione OGGI</t>
  </si>
  <si>
    <t>Informazioni complete sulla funzione ADESSO</t>
  </si>
  <si>
    <t>Informazioni complete sulla funzione DATA</t>
  </si>
  <si>
    <t>Data odierna:</t>
  </si>
  <si>
    <t>Tuo compleanno:</t>
  </si>
  <si>
    <t>Giorni mancanti al compleanno:</t>
  </si>
  <si>
    <t>Giorni di tolleranza:</t>
  </si>
  <si>
    <t>Scadenza fattura:</t>
  </si>
  <si>
    <t>Ora corrente:</t>
  </si>
  <si>
    <t>Ore giornaliere lavorate</t>
  </si>
  <si>
    <t>Ora entrata:</t>
  </si>
  <si>
    <t>Uscita pranzo:</t>
  </si>
  <si>
    <t>Rientro pranzo:</t>
  </si>
  <si>
    <t>Ora uscita:</t>
  </si>
  <si>
    <t>Totale ore:</t>
  </si>
  <si>
    <t>Data e ora statiche</t>
  </si>
  <si>
    <t>Data:</t>
  </si>
  <si>
    <t>Ora:</t>
  </si>
  <si>
    <t>Unione del testo contenuto in celle diverse</t>
  </si>
  <si>
    <t xml:space="preserve">In Excel capita spesso di dover unire il testo presente in celle diverse. Un esempio molto comune è un elenco di nomi e cognomi da combinare sotto forma di nome, cognome oppure nome completo. In Excel si può fare usando il simbolo della e commerciale (&amp;), che puoi inserire con MAIUSC+6.
</t>
  </si>
  <si>
    <t xml:space="preserve">Nella cella E3 immetti =D3&amp;C3 per unire i cognomi e i nomi. 
</t>
  </si>
  <si>
    <t xml:space="preserve">PanicucciOlga non è il risultato ideale. Dobbiamo aggiungere una virgola e uno spazio. A questo scopo usiamo le virgolette per creare una nuova stringa di testo. Questa volta immetti =D3&amp;", "&amp;C3. La parte &amp;", "&amp; consente di unire una virgola e uno spazio al testo nelle celle.
</t>
  </si>
  <si>
    <t xml:space="preserve">Per creare il nome completo, uniamo prima di tutto il nome e il cognome, ma usando uno spazio senza virgola. In F3 immetti =C3&amp;" "&amp;D3.
</t>
  </si>
  <si>
    <t>Uso di testo e numeri insieme</t>
  </si>
  <si>
    <t>Ora usiamo il simbolo &amp; per unire testo e numeri, non solo testo e testo
Osserva le celle C28:D29. Vedi che la data e le ore si trovano in celle separate? Puoi unirle con il simbolo &amp; come vedrai nelle celle C32:C33, ma il risultato non è ideale. Non sapendo come vuoi formattare i numeri, Excel usa il formato più basilare, che in questo caso è la data seriale. Dobbiamo indicare esplicitamente a Excel come formattare la parte numerica della formula, in modo che venga visualizzata come vuoi nella stringa di testo risultante. Per farlo, puoi usare la funzione TESTO e un codice di formato.</t>
  </si>
  <si>
    <t xml:space="preserve">Nella cella C36 immetti =C28&amp;" "&amp;TESTO(D28;"GG/MM/AAAA"). GG/MM/AAAA è il codice di formato italiano per giorno/mese/anno, ad esempio 25/09/2017.
</t>
  </si>
  <si>
    <t>GUARDA QUI
Le formule, soprattutto quelle di grandi dimensioni, possono risultare difficile da leggere, ma è possibile separare le parti con spazi, come in questo esempio:
=C28 &amp; " " &amp; TESTO(D28;"GG/MM/AAAA")</t>
  </si>
  <si>
    <t>CURIOSITÀ
Se non sai quale codice di formato usare, puoi scegliere CTRL+1 &gt; Numero per formattare le celle come preferisci. Seleziona l'opzione Personalizzato. Puoi copiare nella formula il codice di formato visualizzato.</t>
  </si>
  <si>
    <t>Informazioni complete sulla funzione TESTO</t>
  </si>
  <si>
    <t>Combinare testo e numeri</t>
  </si>
  <si>
    <t>Nome</t>
  </si>
  <si>
    <t>Olga</t>
  </si>
  <si>
    <t>Pio</t>
  </si>
  <si>
    <t>Albertino</t>
  </si>
  <si>
    <t>Fiamma</t>
  </si>
  <si>
    <t>Carmelo</t>
  </si>
  <si>
    <t>Nazzareno</t>
  </si>
  <si>
    <t>Cataldo</t>
  </si>
  <si>
    <t>Martina</t>
  </si>
  <si>
    <t>Usare testo e numeri</t>
  </si>
  <si>
    <t>Unione di testo e numeri</t>
  </si>
  <si>
    <t>Formattazione di testo e numeri</t>
  </si>
  <si>
    <t>Cognome</t>
  </si>
  <si>
    <t>Panicucci</t>
  </si>
  <si>
    <t>Udinesi</t>
  </si>
  <si>
    <t>Mazzanti</t>
  </si>
  <si>
    <t>Greco</t>
  </si>
  <si>
    <t>Barese</t>
  </si>
  <si>
    <t>Romani</t>
  </si>
  <si>
    <t>Capon</t>
  </si>
  <si>
    <t>Milani</t>
  </si>
  <si>
    <t>Cognome, Nome</t>
  </si>
  <si>
    <t>Nome completo</t>
  </si>
  <si>
    <t>Istruzioni SE</t>
  </si>
  <si>
    <t>Le istruzioni SE permettono di eseguire confronti logici tra condizioni. Un'istruzione SE in genere indica di eseguire una determinata operazione se una condizione è vera e di eseguire un'altra operazione in caso contrario. Le formule possono restituire testo, valori o altri calcoli.</t>
  </si>
  <si>
    <t xml:space="preserve">Copia D9 in D10. Qui la risposta dovrebbe essere FALSO perché un'arancia non è una mela.
</t>
  </si>
  <si>
    <t xml:space="preserve">Prova un altro esempio osservando la formula nella cella D12. Abbiamo già inserito =SE(C12&lt;100;"Minore di 100";"Maggiore di o uguale a 100"). Cosa succede se si immette un numero maggiore di 100 nella cella C12?
</t>
  </si>
  <si>
    <t>Istruzione SE con un'altra funzione</t>
  </si>
  <si>
    <t xml:space="preserve">Le istruzioni SE possono anche forzare l'esecuzione di altri calcoli se è soddisfatta una determinata condizione. Qui valuteremo una cella per stabilire se deve essere addebitata l'IVA e per calcolarla, se la condizione è vera.
</t>
  </si>
  <si>
    <t>Nella cella F33 abbiamo inserito =SE(E33="Sì";F31*IVA;0), con l'IVA configurata come intervallo denominato con il valore 0,0825. La formula indica: se la cella E33 equivale a Sì, moltiplica la cella F31 per l'IVA, altrimenti restituisci il valore 0.
Prova a specificare No al posto di Sì nella cella E33 per vedere come cambia il calcolo.</t>
  </si>
  <si>
    <t xml:space="preserve">Abbiamo quindi aggiunto un'istruzione SE per calcolare le spese di spedizione, se necessarie. Nella cella F35 vedrai =SE(E35="Sì";SOMMA(D28:D29)*1,25;0). Questo significa: "se la cella E35 contiene Sì, moltiplica per 1,25 la somma della colonna Quantità nella tabella soprastante, altrimenti restituisci il valore 0".
</t>
  </si>
  <si>
    <t xml:space="preserve">Quindi, sostituisci il valore 1,25 nella formula nella cella F35 con "Spedizione". Quando inizi a digitare, la funzione di correzione automatica di Excel dovrebbe trovare automaticamente la voce. Quando accade, premi TAB per immetterla. Questo è un intervallo denominato che è stato immesso da Formule &gt; Definisci nome. A questo punto, se è necessario modificare le spese di spedizione, sarà sufficiente farlo in un unico posto e usare il nome Spedizione ovunque nella cartella di lavoro.
</t>
  </si>
  <si>
    <t>INFORMAZIONI UTILI
Quando si crea una formula, Excel inserisce automaticamente bordi colorati intorno a tutti gli intervalli a cui viene fatto riferimento nella formula e gli intervalli corrispondenti nella formula saranno dello stesso colore. Per osservare questo effetto, seleziona la cella F33 e premi F2 per modificare la formula.</t>
  </si>
  <si>
    <t xml:space="preserve">L'ESPERTO SUGGERISCE
Gli intervalli denominati consentono di definire i termini o i valori in un'unica posizione per poterli riutilizzare in una cartella di lavoro. Per vedere tutti gli intervalli denominati usati in questa cartella di lavoro, scegli Formule &gt; Gestione nomi. Fai clic qui per altre informazioni.
</t>
  </si>
  <si>
    <t>Informazioni complete sulla funzione SE</t>
  </si>
  <si>
    <t>Informazioni complete sulla funzione PIÙ.SE</t>
  </si>
  <si>
    <t>Istruzioni SE avanzate</t>
  </si>
  <si>
    <t>Mela</t>
  </si>
  <si>
    <t>Arancia</t>
  </si>
  <si>
    <t>Widget</t>
  </si>
  <si>
    <t>Oggetto</t>
  </si>
  <si>
    <t>Subtotale</t>
  </si>
  <si>
    <t>IVA?</t>
  </si>
  <si>
    <t>Spedizione?</t>
  </si>
  <si>
    <t>Totale</t>
  </si>
  <si>
    <t>Costo</t>
  </si>
  <si>
    <t>Sì</t>
  </si>
  <si>
    <t>CERCA.VERT</t>
  </si>
  <si>
    <t xml:space="preserve">CERCA.VERT è una delle funzioni più usate in Excel. CERCA.VERT consente di cercare un valore in una colonna a sinistra, quindi restituisce le informazioni in un'altra colonna a destra se trova una corrispondenza. CERCA.VERT dice:
</t>
  </si>
  <si>
    <t>=CERCA.VERT(A1;B:C;2;FALSO)</t>
  </si>
  <si>
    <t>Cosa vuoi cercare?</t>
  </si>
  <si>
    <t>Se lo trovi, quante colonne a destra vuoi ottenere un valore?</t>
  </si>
  <si>
    <t>Dove lo vuoi cercare?</t>
  </si>
  <si>
    <t>Vuoi una corrispondenza esatta o approssimativa?</t>
  </si>
  <si>
    <t xml:space="preserve">Nella cella D22 immetti =CERCA.VERT(C22;C17:D20;2;FALSO). La risposta corretta per Mele è 50. CERCA.VERT ha cercato il valore Mele, l'ha trovato e quindi ha restituito la quantità una colonna più a destra.
</t>
  </si>
  <si>
    <t xml:space="preserve">Ora prova autonomamente nella sezione Carne, nella cella G22. Dovresti ottenere =CERCA.VERT(F22;F17:G20;2;FALSO).
</t>
  </si>
  <si>
    <t>ESPERIMENTO
Prova a selezionare altri articoli negli elenchi a discesa. Noterai che i valori nelle celle dei risultati vengono aggiornati immediatamente.</t>
  </si>
  <si>
    <t>CERCA.VERT e #N/D</t>
  </si>
  <si>
    <t xml:space="preserve">Presto o tardi ti capiterà che CERCA.VERT non riesca a trovare ciò che hai chiesto e restituisca un errore (#N/D). Questo può succedere, ad esempio, se il valore di ricerca non esiste oppure se la cella di riferimento non contiene ancora un valore.
</t>
  </si>
  <si>
    <t xml:space="preserve">Se sai che il valore di ricerca esiste, ma vuoi nascondere l'errore se la cella di ricerca è vuota, puoi usare l'istruzione SE. In questo caso, integriamo la formula CERCA.VERT esistente nella cella D43 in questo modo:
=SE(C43="";"";CERCA.VERT(C43;C37:D41;2;FALSO))
Questo significa: se la cella C43 equivale a niente (""), non restituire niente, altrimenti restituisci i risultati di CERCA.VERT. Nota la seconda parentesi di chiusura alla fine della formula, che conclude l'istruzione SE.
</t>
  </si>
  <si>
    <t xml:space="preserve">Se non sei certo che il valore di ricerca esista ma vuoi comunque nascondere l'errore #N/D, puoi usare una funzione di gestione degli errori denominata SE.ERRORE nella cella G43: =SE.ERRORE(CERCA.VERT(F43;F37:G41;2;FALSO);""). SE.ERRORE indica: se CERCA.VERT restituisce un risultato valido, visualizzalo, altrimenti non visualizzare niente (""). In questo caso non viene visualizzato niente (""), ma si possono anche usare numeri (0,1, 2 e così via) o un testo, ad esempio "La formula non è corretta".
</t>
  </si>
  <si>
    <t>DETTAGLIO IMPORTANTE
SE.ERRORE è un gestore di errori che rimuove la visualizzazione di tutti gli errori che possono essere generati dalla formula. Questo può causare problemi se Excel notifica che nella formula è presente un errore effettivo che deve essere risolto.
In generale è preferibile non aggiungere gestori di errori alle formule se non si è assolutamente certi che funzionino correttamente.</t>
  </si>
  <si>
    <t>Informazioni complete sulla funzione CERCA.VERT</t>
  </si>
  <si>
    <t>Informazioni complete sulle funzioni INDICE/CONFRONTA</t>
  </si>
  <si>
    <t>Informazioni complete sulla funzione SE.ERRORE</t>
  </si>
  <si>
    <t>Usare le tabelle pivot per analizzare i dati di un foglio di lavoro</t>
  </si>
  <si>
    <t>Pasticceria</t>
  </si>
  <si>
    <t>Funzioni condizionali: SOMMA.SE</t>
  </si>
  <si>
    <t>Le funzioni condizionali consentono di calcolare la somma, la media e il conteggio o di ottenere il valore minimo o massimo di un intervallo in base a una condizione o a un criterio specificato. Ad esempio, si può calcolare quante mele ci sono tra tutti i frutti inclusi nell'elenco. Oppure il numero di arance di tipo Florida.</t>
  </si>
  <si>
    <t>SOMMA.SE consente di sommare in un intervallo sulla base di un criterio specifico cercato in un altro intervallo, come il numero di mele. Seleziona la cella D17 e digita =SOMMA.SE(C3:C14;C17;D3:D14). La funzione SOMMA.SE è strutturata in questo modo:</t>
  </si>
  <si>
    <t>Quale intervallo vuoi esaminare?</t>
  </si>
  <si>
    <t>Quale valore (testo o numero) vuoi cercare?</t>
  </si>
  <si>
    <t>Per ogni corrispondenza trovata, quale intervallo vuoi sommare?</t>
  </si>
  <si>
    <t xml:space="preserve">SOMMA.PIÙ.SE equivale a SOMMA.SE, ma consente di usare più criteri. Quindi, in questo esempio, è possibile cercare frutta e tipo, anziché solo frutta. Seleziona la cella H17 e digita =SOMMA.PIÙ.SE(H3:H14;F3:F14;F17;G3:G14;G17). La funzione SOMMA.PIÙ.SE è strutturata in questo modo:
</t>
  </si>
  <si>
    <t>=SOMMA.PIÙ.SE(H3:H14;F3:F14;F17;G3:G14;G17)</t>
  </si>
  <si>
    <t>Quale intervallo vuoi sommare?</t>
  </si>
  <si>
    <t>Questo è il primo intervallo in cui cercare corrispondenze</t>
  </si>
  <si>
    <t>Questo è il criterio per la prima corrispondenza</t>
  </si>
  <si>
    <t>Questo è il secondo intervallo in cui cercare corrispondenze</t>
  </si>
  <si>
    <t>Questo è il criterio per la seconda corrispondenza</t>
  </si>
  <si>
    <t>L'ESPERTO SUGGERISCE
Ognuna delle celle Frutta e Tipo include un elenco a discesa in cui è possibile selezionare diversi frutti. Prova e osserva come le formule vengono aggiornate automaticamente.</t>
  </si>
  <si>
    <t>Funzioni condizionali: CONTA.SE</t>
  </si>
  <si>
    <t>CONTA.SE e CONTA.PIÙ.SE consentono di contare i valori in un intervallo in base a un determinato criterio. Sono un po' diverse dalle altre funzioni SE e PIÙ.SE in quanto hanno solo un intervallo di criteri e criteri. Non valutano un intervallo per poi cercare in un altro per riepilogare.</t>
  </si>
  <si>
    <t>Seleziona la cella D64 e digita =CONTA.SE(C50:C61;C64). La funzione CONTA.SE è strutturata in questo modo:</t>
  </si>
  <si>
    <t>=CONTA.SE(C50:C61;C64)</t>
  </si>
  <si>
    <t xml:space="preserve">CONTA.PIÙ.SE equivale a SOMMA.SE, ma consente di usare più criteri. Pertanto, in questo esempio, è possibile cercare frutta e tipo, anziché solo frutta. Seleziona la cella H64 e digita =CONTA.PIÙ.SE(F50:F61;F64;G50:G61;G64). La funzione CONTA.PIÙ.SE è strutturata in questo modo:
</t>
  </si>
  <si>
    <t>=CONTA.PIÙ.SE(F50:F61;F64;G50:G61;G64)</t>
  </si>
  <si>
    <t>Questo è il primo intervallo da contare</t>
  </si>
  <si>
    <t>Questo è il secondo intervallo da contare</t>
  </si>
  <si>
    <t>Altre funzioni condizionali</t>
  </si>
  <si>
    <t>SOMMA.SE con un argomento valore</t>
  </si>
  <si>
    <t>Ecco un esempio di funzione SOMMA.SE usando "maggiore di" (&gt;) per trovare tutti i valori che superano una determinata quantità:</t>
  </si>
  <si>
    <t>Somma alcuni valori in base a questo criterio:</t>
  </si>
  <si>
    <t>...Esamina queste celle...
 </t>
  </si>
  <si>
    <t>...e, se il valore è maggiore di 50, sommalo.
 </t>
  </si>
  <si>
    <t>NOTA: se ti ritrovi a creare molte formule condizionali, tieni presente che una tabella pivot è una soluzione migliore. Per saperne di più, leggi questo articolo sulle tabelle pivot.</t>
  </si>
  <si>
    <t>Informazioni complete sulla funzione SOMMA.PIÙ.SE</t>
  </si>
  <si>
    <t>Informazioni complete sulla funzione CONTA.SE</t>
  </si>
  <si>
    <t>Informazioni complete sulla funzione CONTA.PIÙ.SE</t>
  </si>
  <si>
    <t>Informazioni complete sulla funzione MEDIA.SE</t>
  </si>
  <si>
    <t>Informazioni complete sulla funzione MEDIA.PIÙ.SE</t>
  </si>
  <si>
    <t>Informazioni complete sulla funzione MIN.PIÙ.SE</t>
  </si>
  <si>
    <t>Informazioni complete sulla funzione MAX.PIÙ.SE</t>
  </si>
  <si>
    <t>Creare un elenco a discesa</t>
  </si>
  <si>
    <t>SOMMA.SE</t>
  </si>
  <si>
    <t>CONTA.SE</t>
  </si>
  <si>
    <t>Tipo</t>
  </si>
  <si>
    <t>Fuji</t>
  </si>
  <si>
    <t>Florida</t>
  </si>
  <si>
    <t>Cavendish</t>
  </si>
  <si>
    <t>Rough</t>
  </si>
  <si>
    <t>Honeycrisp</t>
  </si>
  <si>
    <t>Navel</t>
  </si>
  <si>
    <t>Lady Finger</t>
  </si>
  <si>
    <t>Eureka</t>
  </si>
  <si>
    <t>Prova</t>
  </si>
  <si>
    <t>SOMMA.PIÙ.SE</t>
  </si>
  <si>
    <t>CONTA.PIÙ.SE</t>
  </si>
  <si>
    <t>Creazione guidata Funzione</t>
  </si>
  <si>
    <t xml:space="preserve">Se conosci il nome della formula che vuoi usare, ma non sai con certezza come costruirla, puoi usare la Creazione guidata Funzione.
</t>
  </si>
  <si>
    <t xml:space="preserve">Seleziona la cella D10 e passa a Formule &gt; Inserisci funzione &gt; digita CERCA.VERT nella casella Cerca una funzione e scegli Vai. Quando viene evidenziato CERCA.VERT, fai clic su OK nella parte inferiore. Quando selezioni una funzione nell'elenco, Excel ne visualizza la sintassi.
</t>
  </si>
  <si>
    <t xml:space="preserve">Immetti quindi gli argomenti della funzione nelle caselle di testo corrispondenti. Ogni volta che ne immetti uno, Excel lo valuta e mostra il relativo risultato, con il risultato finale nella parte inferiore. Man mano che accedi alle singole sezioni, i criteri per ogni argomento vengono elencati nella parte inferiore del modulo. Al termine scegli OK. Excel immette automaticamente la formula.
</t>
  </si>
  <si>
    <t>GUARDA QUI
Dovresti ottenere =CERCA.VERT(C10;C5:D8;2;FALSO)</t>
  </si>
  <si>
    <t>INFORMAZIONI UTILI
Puoi digitare riferimenti di cella e intervallo oppure selezionarli con il mouse.</t>
  </si>
  <si>
    <t xml:space="preserve">INFORMAZIONI UTILI
Quando accedi alla sezione dei singoli argomenti, la descrizione dell'argomento viene visualizzata nella parte inferiore del modulo, sopra il risultato della formula.
</t>
  </si>
  <si>
    <t>Funzioni di Excel (in base alla categoria)</t>
  </si>
  <si>
    <t>Funzioni di Excel (in ordine alfabetico)</t>
  </si>
  <si>
    <t>Correzione degli errori nelle formule</t>
  </si>
  <si>
    <t xml:space="preserve">Se una formula contiene un errore, Excel mostra #NomeErrore. Gli errori possono essere utili perché indicano che qualcosa non funziona correttamente, ma possono essere difficili da risolvere. Per fortuna ci sono diverse opzioni che facilitano l'individuazione dell'origine dell'errore e la relativa correzione.
</t>
  </si>
  <si>
    <t xml:space="preserve">Controllo errori: vai a Formule &gt; Controllo errori. Viene visualizzata una finestra di dialogo che indica la causa generale dell'errore specifico. L'errore #N/D cella D9 è causato dal fatto che non esiste un valore corrispondente a "Mela". Puoi risolvere l'errore usando un valore esistente, eliminare l'errore con SE.ERRORE oppure ignorarlo, contando sul fatto scomparirà quando userai un valore effettivamente esistente.
</t>
  </si>
  <si>
    <t xml:space="preserve">Se fai clic su Informazioni sull'errore, viene visualizzato un argomento della Guida relativo al messaggio di errore. Se fai clic su Mostra passaggi del calcolo, viene visualizzata la finestra di dialogo Valuta formula.
</t>
  </si>
  <si>
    <t xml:space="preserve">Ogni volta che fai clic su Valuta, Excel valuta la formula una sezione alla volta. Non specifica necessariamente perché si verifica un errore, ma indica dove. A quel punto, esamina l'argomento della Guida per capire qual è il problema presente nella formula.
</t>
  </si>
  <si>
    <t>ESPERIMENTO
Qual è il problema qui? Suggerimento: vogliamo calcolare la SOMMA di tutti gli articoli.</t>
  </si>
  <si>
    <t xml:space="preserve">INFORMAZIONI UTILI
Fai clic su Opzioni per impostare le regole per i casi in cui gli errori in Excel vengono visualizzati o ignorati.
</t>
  </si>
  <si>
    <t>Rilevare gli errori nelle formule</t>
  </si>
  <si>
    <t>Come evitare errori nelle formule</t>
  </si>
  <si>
    <t>Valutare un formula annidata un passaggio alla volta</t>
  </si>
  <si>
    <t>Altre domande su Excel?</t>
  </si>
  <si>
    <t>Vai avanti. Sono disponibili altre risorse su Excel:</t>
  </si>
  <si>
    <t xml:space="preserve">Community: Invia domande e mettiti in contatto con altri appassionati di Excel.
</t>
  </si>
  <si>
    <t xml:space="preserve">Altre novità?
Gli abbonati a Office 365 ricevono costantemente aggiornamenti e nuove funzionalità.
</t>
  </si>
  <si>
    <t>Bastano pochi semplici passaggi per iniziare a creare formule e funzioni in Excel, l'app per fogli di calcolo 
più famosa al mondo.</t>
  </si>
  <si>
    <t>CONTA.NUMERI &gt;</t>
  </si>
  <si>
    <t xml:space="preserve">Nella cella D9 immetti =SE(C9="Mela";VERO;FALSO). La risposta corretta è VERO. 
</t>
  </si>
  <si>
    <t>=10+20 è una formula in cui 10 e 20 sono costanti e il segno + è l'operatore.</t>
  </si>
  <si>
    <t xml:space="preserve">Ora seleziona la cella G7 e immetti una funzione MAX digitando =MAX(G3:G6).
</t>
  </si>
  <si>
    <t>Se questa formula potesse parlare, direbbe: "sottrai Ora uscita da Ora entrata, quindi sottrai le ore Uscita/Rientro pranzo e moltiplica per 24 per convertire il tempo frazionario di Excel in ore" oppure =((Ora uscita - Ora entrata)-(Uscita pranzo - Rientro pranzo))*24.</t>
  </si>
  <si>
    <t xml:space="preserve">Nella cella C37 immetti =C29&amp;" "&amp;TESTO(D29;"H:MM"). H:MM è il codice di formato italiano per ore:minuti, ad esempio 13:30.
</t>
  </si>
  <si>
    <t>Finora abbiamo visto le funzioni SOMMA.SE, SOMMA.PIÙ.SE, CONTA.SE e CONTA.PIÙ.SE. Ora puoi provare autonomamente con altre funzioni, come MEDIA.SE/MEDIA.PIÙ.SE, MAX.PIÙ.SE, MIN.PIÙ.SE. Sono tutte strutturate nello stesso modo, quindi una volta scritta una formula puoi semplicemente sostituire il nome della funzione con quello che vuoi usare. Abbiamo scritto tutte le funzioni necessarie per la cella E106, pronte da copiare/incollare. In alternativa, puoi provare a digitarle manualmente per esercitarti.
SOMMA.SE 	=SOMMA.SE(C92:C103;C106;E92:E103) 
SOMMA.PIÙ.SE 	=SOMMA.PIÙ.SE(E92:E103;C92:C103;C106;D92:D103;D106) 
MEDIA.SE 	=MEDIA.SE(C92:C103;C106;E92:E103) 
MEDIA.PIÙ.SE	=MEDIA.PIÙ.SE(E92:E103;C92:C103;C106;D92:D103;D106)
CONTA.SE 	=CONTA.SE(C92:C103;C106)
CONTA.PIÙ.SE 	=CONTA.PIÙ.SE(C92:C103;C106;D92:D103;D106) 
MAX.PIÙ.SE 	=MAX.PIÙ.SE(E92:E103;C92:C103;C106;D92:D103;D106)
MIN.PIÙ.SE 	=MIN.PIÙ.SE(E92:E103;C92:C103;C106;D92:D103;D106)</t>
  </si>
  <si>
    <t>Informazioni complete sulla funzione MAX</t>
  </si>
  <si>
    <t>DETTAGLIO IMPORTANTE
VERO e FALSO sono diverse dalle altre parole usate nelle formule di Excel in quanto non è necessario racchiuderle tra virgolette e vengono formattate automaticamente in maiuscolo. Anche i numeri non devono necessariamente essere racchiusi tra virgolette. Il testo normale come Sì o No, invece, deve essere racchiuso tra virgolette in questo modo: 
=SE(C9="Mela";"Sì";"No")</t>
  </si>
  <si>
    <t>Premi ALT+X e digita cosa che vuoi sapere.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</si>
</sst>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quot;€&quot;\ #,##0.00;[Red]\-&quot;€&quot;\ #,##0.00"/>
    <numFmt numFmtId="167" formatCode="dd/mm/yy;@"/>
    <numFmt numFmtId="168" formatCode="h:mm;@"/>
    <numFmt numFmtId="169" formatCode="[$-F400]h:mm:ss\ AM/PM"/>
  </numFmts>
  <fonts count="46"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b/>
      <sz val="11"/>
      <color theme="4"/>
      <name val="Segoe UI Black"/>
      <family val="2"/>
    </font>
    <font>
      <b/>
      <sz val="11"/>
      <color theme="0"/>
      <name val="Calibri"/>
      <family val="2"/>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u/>
      <sz val="11"/>
      <color theme="0"/>
      <name val="Calibri"/>
      <family val="2"/>
    </font>
  </fonts>
  <fills count="38">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4" fillId="0" borderId="0" applyFill="0" applyBorder="0">
      <alignment wrapText="1"/>
    </xf>
    <xf numFmtId="0" fontId="1" fillId="0" borderId="0"/>
    <xf numFmtId="0" fontId="5" fillId="2" borderId="0" applyNumberFormat="0" applyProtection="0">
      <alignment horizontal="left" wrapText="1" indent="4"/>
    </xf>
    <xf numFmtId="0" fontId="4" fillId="2" borderId="0" applyNumberFormat="0" applyProtection="0">
      <alignment horizontal="left" wrapText="1" indent="4"/>
    </xf>
    <xf numFmtId="0" fontId="6" fillId="0" borderId="0"/>
    <xf numFmtId="0" fontId="6" fillId="3" borderId="0" applyNumberFormat="0" applyBorder="0" applyProtection="0"/>
    <xf numFmtId="0" fontId="1" fillId="4" borderId="0"/>
    <xf numFmtId="0" fontId="1" fillId="5" borderId="1"/>
    <xf numFmtId="0" fontId="1" fillId="4" borderId="2"/>
    <xf numFmtId="0" fontId="1" fillId="0" borderId="0"/>
    <xf numFmtId="0" fontId="1" fillId="4" borderId="0"/>
    <xf numFmtId="0" fontId="1" fillId="5" borderId="1"/>
    <xf numFmtId="0" fontId="1" fillId="4" borderId="2"/>
    <xf numFmtId="0" fontId="1" fillId="0" borderId="0"/>
    <xf numFmtId="0" fontId="19" fillId="0" borderId="0" applyNumberFormat="0" applyFill="0" applyBorder="0" applyAlignment="0" applyProtection="0"/>
    <xf numFmtId="0" fontId="1" fillId="4" borderId="0"/>
    <xf numFmtId="0" fontId="1" fillId="5" borderId="1"/>
    <xf numFmtId="0" fontId="1" fillId="4" borderId="2"/>
    <xf numFmtId="0" fontId="31" fillId="0" borderId="0" applyNumberFormat="0" applyFill="0" applyBorder="0" applyAlignment="0" applyProtection="0"/>
    <xf numFmtId="165" fontId="14" fillId="0" borderId="0" applyFont="0" applyFill="0" applyBorder="0" applyAlignment="0" applyProtection="0"/>
    <xf numFmtId="164" fontId="14" fillId="0" borderId="0" applyFont="0" applyFill="0" applyBorder="0" applyAlignment="0" applyProtection="0"/>
    <xf numFmtId="44" fontId="14" fillId="0" borderId="0" applyFont="0" applyFill="0" applyBorder="0" applyAlignment="0" applyProtection="0"/>
    <xf numFmtId="42" fontId="14" fillId="0" borderId="0" applyFont="0" applyFill="0" applyBorder="0" applyAlignment="0" applyProtection="0"/>
    <xf numFmtId="9" fontId="14" fillId="0" borderId="0" applyFont="0" applyFill="0" applyBorder="0" applyAlignment="0" applyProtection="0"/>
    <xf numFmtId="0" fontId="32" fillId="0" borderId="0" applyNumberFormat="0" applyFill="0" applyBorder="0" applyAlignment="0" applyProtection="0"/>
    <xf numFmtId="0" fontId="33" fillId="0" borderId="14" applyNumberFormat="0" applyFill="0" applyAlignment="0" applyProtection="0"/>
    <xf numFmtId="0" fontId="34" fillId="0" borderId="15" applyNumberFormat="0" applyFill="0" applyAlignment="0" applyProtection="0"/>
    <xf numFmtId="0" fontId="35" fillId="0" borderId="16" applyNumberFormat="0" applyFill="0" applyAlignment="0" applyProtection="0"/>
    <xf numFmtId="0" fontId="35" fillId="0" borderId="0" applyNumberFormat="0" applyFill="0" applyBorder="0" applyAlignment="0" applyProtection="0"/>
    <xf numFmtId="0" fontId="36" fillId="7" borderId="0" applyNumberFormat="0" applyBorder="0" applyAlignment="0" applyProtection="0"/>
    <xf numFmtId="0" fontId="37" fillId="8" borderId="0" applyNumberFormat="0" applyBorder="0" applyAlignment="0" applyProtection="0"/>
    <xf numFmtId="0" fontId="38" fillId="9" borderId="0" applyNumberFormat="0" applyBorder="0" applyAlignment="0" applyProtection="0"/>
    <xf numFmtId="0" fontId="39" fillId="10" borderId="17" applyNumberFormat="0" applyAlignment="0" applyProtection="0"/>
    <xf numFmtId="0" fontId="40" fillId="11" borderId="18" applyNumberFormat="0" applyAlignment="0" applyProtection="0"/>
    <xf numFmtId="0" fontId="41" fillId="11" borderId="17" applyNumberFormat="0" applyAlignment="0" applyProtection="0"/>
    <xf numFmtId="0" fontId="42" fillId="0" borderId="19" applyNumberFormat="0" applyFill="0" applyAlignment="0" applyProtection="0"/>
    <xf numFmtId="0" fontId="16" fillId="12" borderId="20" applyNumberFormat="0" applyAlignment="0" applyProtection="0"/>
    <xf numFmtId="0" fontId="43" fillId="0" borderId="0" applyNumberFormat="0" applyFill="0" applyBorder="0" applyAlignment="0" applyProtection="0"/>
    <xf numFmtId="0" fontId="14" fillId="13" borderId="1" applyNumberFormat="0" applyFont="0" applyAlignment="0" applyProtection="0"/>
    <xf numFmtId="0" fontId="44" fillId="0" borderId="0" applyNumberFormat="0" applyFill="0" applyBorder="0" applyAlignment="0" applyProtection="0"/>
    <xf numFmtId="0" fontId="8" fillId="0" borderId="21" applyNumberFormat="0" applyFill="0" applyAlignment="0" applyProtection="0"/>
    <xf numFmtId="0" fontId="6"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6"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6"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6"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6"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6"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132">
    <xf numFmtId="0" fontId="0" fillId="0" borderId="0" xfId="0"/>
    <xf numFmtId="0" fontId="1" fillId="0" borderId="0" xfId="2"/>
    <xf numFmtId="0" fontId="5" fillId="2" borderId="0" xfId="3">
      <alignment horizontal="left" wrapText="1" indent="4"/>
    </xf>
    <xf numFmtId="0" fontId="4" fillId="2" borderId="0" xfId="4">
      <alignment horizontal="left" wrapText="1" indent="4"/>
    </xf>
    <xf numFmtId="0" fontId="1" fillId="0" borderId="0" xfId="2" applyAlignment="1">
      <alignment horizontal="left"/>
    </xf>
    <xf numFmtId="0" fontId="7" fillId="0" borderId="0" xfId="0" applyFont="1"/>
    <xf numFmtId="0" fontId="7" fillId="0" borderId="0" xfId="0" applyFont="1" applyAlignment="1">
      <alignment horizontal="left" indent="1"/>
    </xf>
    <xf numFmtId="0" fontId="6" fillId="3" borderId="0" xfId="6"/>
    <xf numFmtId="0" fontId="6" fillId="3" borderId="0" xfId="6" applyAlignment="1">
      <alignment horizontal="right"/>
    </xf>
    <xf numFmtId="0" fontId="6" fillId="0" borderId="0" xfId="5"/>
    <xf numFmtId="0" fontId="8" fillId="0" borderId="0" xfId="2" applyFont="1" applyAlignment="1">
      <alignment horizontal="left"/>
    </xf>
    <xf numFmtId="0" fontId="6" fillId="3" borderId="0" xfId="6" applyAlignment="1">
      <alignment horizontal="left"/>
    </xf>
    <xf numFmtId="14" fontId="0" fillId="0" borderId="0" xfId="0" applyNumberFormat="1"/>
    <xf numFmtId="0" fontId="1" fillId="4" borderId="0" xfId="11"/>
    <xf numFmtId="0" fontId="9" fillId="0" borderId="0" xfId="0" applyFont="1"/>
    <xf numFmtId="0" fontId="9" fillId="0" borderId="0" xfId="2" applyFont="1" applyAlignment="1">
      <alignment horizontal="left"/>
    </xf>
    <xf numFmtId="0" fontId="9" fillId="0" borderId="0" xfId="5" applyFont="1"/>
    <xf numFmtId="0" fontId="10" fillId="0" borderId="0" xfId="0" applyFont="1"/>
    <xf numFmtId="0" fontId="11" fillId="0" borderId="0" xfId="2" applyFont="1"/>
    <xf numFmtId="0" fontId="13" fillId="0" borderId="0" xfId="0" applyFont="1"/>
    <xf numFmtId="0" fontId="11" fillId="0" borderId="0" xfId="2" applyFont="1" applyAlignment="1">
      <alignment horizontal="left"/>
    </xf>
    <xf numFmtId="0" fontId="14" fillId="0" borderId="0" xfId="0" applyFont="1"/>
    <xf numFmtId="0" fontId="12" fillId="0" borderId="0" xfId="5" applyFont="1"/>
    <xf numFmtId="0" fontId="8" fillId="0" borderId="0" xfId="2" applyFont="1" applyAlignment="1">
      <alignment horizontal="right"/>
    </xf>
    <xf numFmtId="0" fontId="6" fillId="0" borderId="0" xfId="2" applyFont="1" applyAlignment="1">
      <alignment horizontal="left"/>
    </xf>
    <xf numFmtId="0" fontId="15" fillId="0" borderId="0" xfId="0" applyFont="1"/>
    <xf numFmtId="0" fontId="15" fillId="0" borderId="0" xfId="0" quotePrefix="1" applyFont="1"/>
    <xf numFmtId="0" fontId="15" fillId="0" borderId="0" xfId="0" applyFont="1" applyAlignment="1">
      <alignment wrapText="1"/>
    </xf>
    <xf numFmtId="0" fontId="16" fillId="3" borderId="0" xfId="6" applyFont="1" applyAlignment="1">
      <alignment horizontal="left"/>
    </xf>
    <xf numFmtId="0" fontId="16" fillId="3" borderId="0" xfId="6" applyFont="1" applyAlignment="1">
      <alignment horizontal="right"/>
    </xf>
    <xf numFmtId="0" fontId="0" fillId="0" borderId="0" xfId="0" applyAlignment="1">
      <alignment vertical="center"/>
    </xf>
    <xf numFmtId="0" fontId="16" fillId="3" borderId="0" xfId="6" applyFont="1"/>
    <xf numFmtId="0" fontId="1" fillId="0" borderId="0" xfId="14"/>
    <xf numFmtId="0" fontId="17" fillId="0" borderId="0" xfId="14" applyFont="1"/>
    <xf numFmtId="0" fontId="18" fillId="0" borderId="0" xfId="14" applyFont="1"/>
    <xf numFmtId="0" fontId="18" fillId="0" borderId="0" xfId="14" applyFont="1" applyAlignment="1">
      <alignment vertical="center"/>
    </xf>
    <xf numFmtId="0" fontId="6" fillId="0" borderId="0" xfId="5" applyAlignment="1">
      <alignment wrapText="1"/>
    </xf>
    <xf numFmtId="0" fontId="3" fillId="0" borderId="0" xfId="2" applyFont="1"/>
    <xf numFmtId="0" fontId="3" fillId="0" borderId="0" xfId="2" applyFont="1" applyAlignment="1">
      <alignment horizontal="left"/>
    </xf>
    <xf numFmtId="0" fontId="3" fillId="0" borderId="0" xfId="2" applyFont="1" applyAlignment="1">
      <alignment horizontal="right"/>
    </xf>
    <xf numFmtId="0" fontId="3" fillId="4" borderId="0" xfId="7" applyFont="1"/>
    <xf numFmtId="0" fontId="3" fillId="4" borderId="0" xfId="7" applyFont="1" applyAlignment="1">
      <alignment horizontal="right"/>
    </xf>
    <xf numFmtId="0" fontId="3" fillId="5" borderId="1" xfId="8" applyFont="1" applyAlignment="1">
      <alignment horizontal="right"/>
    </xf>
    <xf numFmtId="0" fontId="7" fillId="0" borderId="0" xfId="0" applyFont="1" applyAlignment="1">
      <alignment horizontal="center"/>
    </xf>
    <xf numFmtId="0" fontId="3" fillId="0" borderId="0" xfId="2" applyFont="1" applyAlignment="1">
      <alignment horizontal="left" indent="1"/>
    </xf>
    <xf numFmtId="0" fontId="7" fillId="0" borderId="0" xfId="0" applyFont="1" applyAlignment="1">
      <alignment horizontal="left" indent="2"/>
    </xf>
    <xf numFmtId="0" fontId="3" fillId="4" borderId="2" xfId="9" applyFont="1"/>
    <xf numFmtId="0" fontId="3" fillId="5" borderId="1" xfId="8" applyFont="1" applyAlignment="1">
      <alignment horizontal="right" vertical="center"/>
    </xf>
    <xf numFmtId="0" fontId="3" fillId="0" borderId="0" xfId="2" applyFont="1" applyAlignment="1">
      <alignment horizontal="center"/>
    </xf>
    <xf numFmtId="0" fontId="3" fillId="0" borderId="0" xfId="2" quotePrefix="1" applyFont="1" applyAlignment="1">
      <alignment horizontal="left"/>
    </xf>
    <xf numFmtId="0" fontId="3" fillId="0" borderId="0" xfId="2" applyFont="1" applyAlignment="1">
      <alignment horizontal="left" indent="2"/>
    </xf>
    <xf numFmtId="0" fontId="3" fillId="0" borderId="0" xfId="10" applyFont="1" applyAlignment="1">
      <alignment horizontal="left" indent="1"/>
    </xf>
    <xf numFmtId="0" fontId="3" fillId="4" borderId="2" xfId="13" applyFont="1"/>
    <xf numFmtId="0" fontId="3" fillId="4" borderId="2" xfId="9" applyFont="1" applyAlignment="1">
      <alignment horizontal="center" vertical="center"/>
    </xf>
    <xf numFmtId="0" fontId="3" fillId="4" borderId="2" xfId="9" applyFont="1" applyAlignment="1">
      <alignment horizontal="left"/>
    </xf>
    <xf numFmtId="0" fontId="1" fillId="5" borderId="1" xfId="8"/>
    <xf numFmtId="0" fontId="0" fillId="0" borderId="3" xfId="0" applyBorder="1" applyAlignment="1">
      <alignment vertical="center"/>
    </xf>
    <xf numFmtId="0" fontId="1" fillId="5" borderId="1" xfId="17"/>
    <xf numFmtId="0" fontId="20" fillId="0" borderId="0" xfId="0" applyFont="1"/>
    <xf numFmtId="0" fontId="1" fillId="4" borderId="0" xfId="16"/>
    <xf numFmtId="0" fontId="19" fillId="0" borderId="0" xfId="15"/>
    <xf numFmtId="0" fontId="21" fillId="2" borderId="0" xfId="27" applyFont="1" applyFill="1" applyBorder="1" applyAlignment="1">
      <alignment horizontal="left" indent="1"/>
    </xf>
    <xf numFmtId="0" fontId="16" fillId="3" borderId="4" xfId="6" applyFont="1" applyBorder="1" applyAlignment="1">
      <alignment horizontal="left" vertical="center"/>
    </xf>
    <xf numFmtId="0" fontId="16" fillId="3" borderId="4" xfId="6" applyFont="1" applyBorder="1" applyAlignment="1">
      <alignment horizontal="right" vertical="center"/>
    </xf>
    <xf numFmtId="0" fontId="0" fillId="6" borderId="4" xfId="0" applyFill="1" applyBorder="1" applyAlignment="1">
      <alignment vertical="center"/>
    </xf>
    <xf numFmtId="0" fontId="22" fillId="0" borderId="0" xfId="0" applyFont="1" applyAlignment="1">
      <alignment horizontal="centerContinuous" vertical="center"/>
    </xf>
    <xf numFmtId="0" fontId="14" fillId="0" borderId="0" xfId="0" applyFont="1" applyAlignment="1">
      <alignment horizontal="centerContinuous"/>
    </xf>
    <xf numFmtId="0" fontId="6" fillId="3" borderId="0" xfId="6" applyAlignment="1">
      <alignment horizontal="center" vertical="center"/>
    </xf>
    <xf numFmtId="0" fontId="24" fillId="0" borderId="0" xfId="10" applyFont="1"/>
    <xf numFmtId="0" fontId="25" fillId="0" borderId="0" xfId="0" applyFont="1" applyAlignment="1">
      <alignment horizontal="centerContinuous" vertical="center"/>
    </xf>
    <xf numFmtId="0" fontId="26" fillId="0" borderId="0" xfId="10" applyFont="1" applyAlignment="1">
      <alignment horizontal="centerContinuous"/>
    </xf>
    <xf numFmtId="0" fontId="26" fillId="0" borderId="0" xfId="10" applyFont="1"/>
    <xf numFmtId="0" fontId="23" fillId="3" borderId="0" xfId="6" applyFont="1"/>
    <xf numFmtId="0" fontId="23" fillId="3" borderId="0" xfId="6" applyFont="1" applyAlignment="1">
      <alignment horizontal="right"/>
    </xf>
    <xf numFmtId="0" fontId="27" fillId="0" borderId="0" xfId="10" applyFont="1"/>
    <xf numFmtId="0" fontId="26" fillId="0" borderId="0" xfId="10" applyFont="1" applyAlignment="1">
      <alignment horizontal="left"/>
    </xf>
    <xf numFmtId="0" fontId="27" fillId="0" borderId="0" xfId="10" applyFont="1" applyAlignment="1">
      <alignment horizontal="left"/>
    </xf>
    <xf numFmtId="0" fontId="28" fillId="0" borderId="0" xfId="0" applyFont="1"/>
    <xf numFmtId="0" fontId="26" fillId="4" borderId="2" xfId="13" applyFont="1"/>
    <xf numFmtId="0" fontId="26" fillId="5" borderId="1" xfId="12" applyFont="1" applyAlignment="1">
      <alignment horizontal="right"/>
    </xf>
    <xf numFmtId="0" fontId="3" fillId="0" borderId="0" xfId="2" applyFont="1" applyAlignment="1">
      <alignment horizontal="centerContinuous"/>
    </xf>
    <xf numFmtId="0" fontId="0" fillId="0" borderId="0" xfId="0" applyAlignment="1">
      <alignment horizontal="centerContinuous"/>
    </xf>
    <xf numFmtId="0" fontId="6" fillId="0" borderId="0" xfId="5" applyAlignment="1">
      <alignment horizontal="centerContinuous"/>
    </xf>
    <xf numFmtId="0" fontId="1" fillId="4" borderId="2" xfId="9"/>
    <xf numFmtId="0" fontId="2" fillId="4" borderId="2" xfId="9"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6" fillId="0" borderId="0" xfId="2" applyFont="1" applyAlignment="1">
      <alignment horizontal="left" wrapText="1"/>
    </xf>
    <xf numFmtId="0" fontId="9" fillId="0" borderId="0" xfId="0" applyFont="1" applyAlignment="1">
      <alignment wrapText="1"/>
    </xf>
    <xf numFmtId="0" fontId="9" fillId="0" borderId="0" xfId="2" applyFont="1" applyAlignment="1">
      <alignment horizontal="left" wrapText="1"/>
    </xf>
    <xf numFmtId="0" fontId="29" fillId="0" borderId="0" xfId="0" applyFont="1"/>
    <xf numFmtId="0" fontId="25" fillId="0" borderId="0" xfId="0" applyFont="1" applyAlignment="1">
      <alignment horizontal="center" vertical="center"/>
    </xf>
    <xf numFmtId="0" fontId="25"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5" borderId="5" xfId="17" applyBorder="1"/>
    <xf numFmtId="0" fontId="1" fillId="4" borderId="6" xfId="16" applyBorder="1" applyAlignment="1">
      <alignment horizontal="left"/>
    </xf>
    <xf numFmtId="0" fontId="1" fillId="4" borderId="6" xfId="7" applyBorder="1"/>
    <xf numFmtId="0" fontId="1" fillId="4" borderId="2" xfId="13"/>
    <xf numFmtId="0" fontId="26" fillId="5" borderId="7" xfId="12" applyFont="1" applyBorder="1"/>
    <xf numFmtId="0" fontId="26" fillId="4" borderId="6" xfId="11" applyFont="1" applyBorder="1"/>
    <xf numFmtId="0" fontId="26" fillId="4" borderId="8" xfId="11" applyFont="1" applyBorder="1"/>
    <xf numFmtId="0" fontId="1" fillId="5" borderId="10" xfId="12" applyBorder="1"/>
    <xf numFmtId="0" fontId="3" fillId="5" borderId="7" xfId="8" applyFont="1" applyBorder="1" applyAlignment="1">
      <alignment horizontal="right"/>
    </xf>
    <xf numFmtId="0" fontId="3" fillId="4" borderId="6" xfId="7" applyFont="1" applyBorder="1"/>
    <xf numFmtId="0" fontId="3" fillId="4" borderId="6" xfId="7" applyFont="1" applyBorder="1" applyAlignment="1">
      <alignment horizontal="right"/>
    </xf>
    <xf numFmtId="0" fontId="3" fillId="4" borderId="6" xfId="7" applyFont="1" applyBorder="1" applyAlignment="1">
      <alignment horizontal="left"/>
    </xf>
    <xf numFmtId="0" fontId="1" fillId="4" borderId="11" xfId="9" applyBorder="1"/>
    <xf numFmtId="0" fontId="1" fillId="5" borderId="10" xfId="8" applyBorder="1"/>
    <xf numFmtId="0" fontId="2" fillId="4" borderId="6" xfId="7" applyFont="1" applyBorder="1"/>
    <xf numFmtId="0" fontId="1" fillId="4" borderId="1" xfId="7" applyBorder="1"/>
    <xf numFmtId="0" fontId="8" fillId="0" borderId="9" xfId="10" applyFont="1" applyBorder="1" applyAlignment="1">
      <alignment horizontal="left"/>
    </xf>
    <xf numFmtId="0" fontId="26" fillId="5" borderId="1" xfId="12" applyFont="1"/>
    <xf numFmtId="0" fontId="6" fillId="0" borderId="0" xfId="10" applyFont="1" applyAlignment="1">
      <alignment horizontal="left" wrapText="1"/>
    </xf>
    <xf numFmtId="0" fontId="6" fillId="0" borderId="0" xfId="0" applyFont="1"/>
    <xf numFmtId="167" fontId="3" fillId="5" borderId="10" xfId="8" applyNumberFormat="1" applyFont="1" applyBorder="1" applyAlignment="1">
      <alignment horizontal="right"/>
    </xf>
    <xf numFmtId="167" fontId="1" fillId="4" borderId="11" xfId="9" applyNumberFormat="1" applyBorder="1"/>
    <xf numFmtId="167" fontId="1" fillId="4" borderId="6" xfId="7" applyNumberFormat="1" applyBorder="1"/>
    <xf numFmtId="0" fontId="20" fillId="0" borderId="0" xfId="0" applyFont="1" applyAlignment="1">
      <alignment vertical="center" readingOrder="1"/>
    </xf>
    <xf numFmtId="168" fontId="1" fillId="4" borderId="6" xfId="7" applyNumberFormat="1" applyBorder="1"/>
    <xf numFmtId="168" fontId="1" fillId="5" borderId="10" xfId="8" applyNumberFormat="1" applyBorder="1"/>
    <xf numFmtId="169" fontId="3" fillId="5" borderId="10" xfId="8" applyNumberFormat="1" applyFont="1" applyBorder="1" applyAlignment="1">
      <alignment horizontal="right"/>
    </xf>
    <xf numFmtId="168" fontId="3" fillId="5" borderId="10" xfId="8" applyNumberFormat="1" applyFont="1" applyBorder="1" applyAlignment="1">
      <alignment horizontal="right"/>
    </xf>
    <xf numFmtId="166" fontId="0" fillId="6" borderId="4" xfId="0" applyNumberFormat="1" applyFill="1" applyBorder="1" applyAlignment="1">
      <alignment vertical="center"/>
    </xf>
    <xf numFmtId="166" fontId="0" fillId="0" borderId="3" xfId="0" applyNumberFormat="1" applyBorder="1" applyAlignment="1">
      <alignment vertical="center"/>
    </xf>
    <xf numFmtId="166" fontId="0" fillId="0" borderId="0" xfId="0" applyNumberFormat="1" applyAlignment="1">
      <alignment vertical="center"/>
    </xf>
    <xf numFmtId="166" fontId="1" fillId="5" borderId="1" xfId="8" applyNumberFormat="1" applyAlignment="1">
      <alignment vertical="center"/>
    </xf>
    <xf numFmtId="0" fontId="16" fillId="3" borderId="0" xfId="6" applyFont="1" applyAlignment="1">
      <alignment horizontal="center"/>
    </xf>
    <xf numFmtId="0" fontId="16" fillId="3" borderId="12" xfId="6" applyFont="1" applyBorder="1" applyAlignment="1">
      <alignment horizontal="center"/>
    </xf>
    <xf numFmtId="0" fontId="16" fillId="3" borderId="13" xfId="6" applyFont="1" applyBorder="1" applyAlignment="1">
      <alignment horizontal="center"/>
    </xf>
    <xf numFmtId="0" fontId="16" fillId="3" borderId="13" xfId="6" applyFont="1" applyBorder="1" applyAlignment="1">
      <alignment horizontal="center" vertical="center"/>
    </xf>
    <xf numFmtId="0" fontId="45" fillId="0" borderId="0" xfId="0" applyFont="1"/>
  </cellXfs>
  <cellStyles count="66">
    <cellStyle name="20% - Colore 1" xfId="43" builtinId="30" customBuiltin="1"/>
    <cellStyle name="20% - Colore 2" xfId="47" builtinId="34" customBuiltin="1"/>
    <cellStyle name="20% - Colore 3" xfId="51" builtinId="38" customBuiltin="1"/>
    <cellStyle name="20% - Colore 4" xfId="55" builtinId="42" customBuiltin="1"/>
    <cellStyle name="20% - Colore 5" xfId="59" builtinId="46" customBuiltin="1"/>
    <cellStyle name="20% - Colore 6" xfId="63" builtinId="50" customBuiltin="1"/>
    <cellStyle name="40% - Colore 1" xfId="44" builtinId="31" customBuiltin="1"/>
    <cellStyle name="40% - Colore 2" xfId="48" builtinId="35" customBuiltin="1"/>
    <cellStyle name="40% - Colore 3" xfId="52" builtinId="39" customBuiltin="1"/>
    <cellStyle name="40% - Colore 4" xfId="56" builtinId="43" customBuiltin="1"/>
    <cellStyle name="40% - Colore 5" xfId="60" builtinId="47" customBuiltin="1"/>
    <cellStyle name="40% - Colore 6" xfId="64" builtinId="51" customBuiltin="1"/>
    <cellStyle name="60% - Colore 1" xfId="45" builtinId="32" customBuiltin="1"/>
    <cellStyle name="60% - Colore 2" xfId="49" builtinId="36" customBuiltin="1"/>
    <cellStyle name="60% - Colore 3" xfId="53" builtinId="40" customBuiltin="1"/>
    <cellStyle name="60% - Colore 4" xfId="57" builtinId="44" customBuiltin="1"/>
    <cellStyle name="60% - Colore 5" xfId="61" builtinId="48" customBuiltin="1"/>
    <cellStyle name="60% - Colore 6" xfId="65" builtinId="52" customBuiltin="1"/>
    <cellStyle name="BordoArancione" xfId="9" xr:uid="{00000000-0005-0000-0000-00000B000000}"/>
    <cellStyle name="BordoArancione 2" xfId="13" xr:uid="{00000000-0005-0000-0000-00000C000000}"/>
    <cellStyle name="BordoArancione 3" xfId="18" xr:uid="{00000000-0005-0000-0000-00000D000000}"/>
    <cellStyle name="Calcolo" xfId="35" builtinId="22" customBuiltin="1"/>
    <cellStyle name="Cella collegata" xfId="36" builtinId="24" customBuiltin="1"/>
    <cellStyle name="Cella da controllare" xfId="37" builtinId="23" customBuiltin="1"/>
    <cellStyle name="CellaGialla" xfId="8" xr:uid="{00000000-0005-0000-0000-000010000000}"/>
    <cellStyle name="CellaGialla 2" xfId="12" xr:uid="{00000000-0005-0000-0000-000011000000}"/>
    <cellStyle name="CellaGialla 2 2" xfId="17" xr:uid="{00000000-0005-0000-0000-000012000000}"/>
    <cellStyle name="CellaGrigia" xfId="7" xr:uid="{00000000-0005-0000-0000-000000000000}"/>
    <cellStyle name="CellaGrigia 2" xfId="11" xr:uid="{00000000-0005-0000-0000-000001000000}"/>
    <cellStyle name="CellaGrigia 2 2" xfId="16" xr:uid="{00000000-0005-0000-0000-000002000000}"/>
    <cellStyle name="Collegamento ipertestuale" xfId="15" builtinId="8" customBuiltin="1"/>
    <cellStyle name="Collegamento ipertestuale visitato" xfId="19" builtinId="9" customBuiltin="1"/>
    <cellStyle name="Colore 1" xfId="42" builtinId="29" customBuiltin="1"/>
    <cellStyle name="Colore 2" xfId="46" builtinId="33" customBuiltin="1"/>
    <cellStyle name="Colore 3" xfId="50" builtinId="37" customBuiltin="1"/>
    <cellStyle name="Colore 4" xfId="54" builtinId="41" customBuiltin="1"/>
    <cellStyle name="Colore 5" xfId="58" builtinId="45" customBuiltin="1"/>
    <cellStyle name="Colore 6" xfId="62" builtinId="49" customBuiltin="1"/>
    <cellStyle name="Input" xfId="33" builtinId="20" customBuiltin="1"/>
    <cellStyle name="Migliaia" xfId="20" builtinId="3" customBuiltin="1"/>
    <cellStyle name="Migliaia [0]" xfId="21" builtinId="6" customBuiltin="1"/>
    <cellStyle name="Neutrale" xfId="32" builtinId="28" customBuiltin="1"/>
    <cellStyle name="Normale" xfId="0" builtinId="0" customBuiltin="1"/>
    <cellStyle name="Normale 2" xfId="2" xr:uid="{00000000-0005-0000-0000-000008000000}"/>
    <cellStyle name="Normale 2 2" xfId="14" xr:uid="{00000000-0005-0000-0000-000009000000}"/>
    <cellStyle name="Normale 3" xfId="10" xr:uid="{00000000-0005-0000-0000-00000A000000}"/>
    <cellStyle name="Nota" xfId="39" builtinId="10" customBuiltin="1"/>
    <cellStyle name="Output" xfId="34" builtinId="21" customBuiltin="1"/>
    <cellStyle name="Percentuale" xfId="24" builtinId="5" customBuiltin="1"/>
    <cellStyle name="Testo avviso" xfId="38" builtinId="11" customBuiltin="1"/>
    <cellStyle name="Testo colonna z A" xfId="5" xr:uid="{00000000-0005-0000-0000-000013000000}"/>
    <cellStyle name="Testo descrittivo" xfId="40" builtinId="53" customBuiltin="1"/>
    <cellStyle name="Testo Inizio" xfId="1" xr:uid="{00000000-0005-0000-0000-00000E000000}"/>
    <cellStyle name="Titolo" xfId="25" builtinId="15" customBuiltin="1"/>
    <cellStyle name="Titolo 1" xfId="26" builtinId="16" customBuiltin="1"/>
    <cellStyle name="Titolo 1 2" xfId="3" xr:uid="{00000000-0005-0000-0000-000003000000}"/>
    <cellStyle name="Titolo 2" xfId="27" xr:uid="{00000000-0005-0000-0000-00000F000000}"/>
    <cellStyle name="Titolo 2 2" xfId="4" xr:uid="{00000000-0005-0000-0000-000004000000}"/>
    <cellStyle name="Titolo 3" xfId="28" builtinId="18" customBuiltin="1"/>
    <cellStyle name="Titolo 3 2" xfId="6" xr:uid="{00000000-0005-0000-0000-000005000000}"/>
    <cellStyle name="Titolo 4" xfId="29" builtinId="19" customBuiltin="1"/>
    <cellStyle name="Totale" xfId="41" builtinId="25" customBuiltin="1"/>
    <cellStyle name="Valore non valido" xfId="31" builtinId="27" customBuiltin="1"/>
    <cellStyle name="Valore valido" xfId="30" builtinId="26" customBuiltin="1"/>
    <cellStyle name="Valuta" xfId="22" builtinId="4" customBuiltin="1"/>
    <cellStyle name="Valuta [0]" xfId="23" builtinId="7" customBuiltin="1"/>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nterfaccia utente Excel"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Concetti di base'!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https://support.office.com/it-IT/article/excel-for-windows-training-9bc05390-e94c-46af-a5b3-d7c22f6990bb?ui=it-IT&amp;rs=en-001&amp;ad=us" TargetMode="External"/><Relationship Id="rId18" Type="http://schemas.openxmlformats.org/officeDocument/2006/relationships/image" Target="../media/image11.png"/><Relationship Id="rId3" Type="http://schemas.openxmlformats.org/officeDocument/2006/relationships/hyperlink" Target="#'Introduzione alle funzioni'!A1"/><Relationship Id="rId7" Type="http://schemas.openxmlformats.org/officeDocument/2006/relationships/hyperlink" Target="https://support.office.com/it-it/article/utilizzare-excel-come-calcolatrice-a1abc057-ed11-443a-a635-68216555ad0a?omkt=it-IT&amp;ui=it-IT&amp;rs=it-IT&amp;ad=IT" TargetMode="External"/><Relationship Id="rId12" Type="http://schemas.openxmlformats.org/officeDocument/2006/relationships/hyperlink" Target="https://support.office.com/it-IT/article/excel-functions-alphabetical-b3944572-255d-4efb-bb96-c6d90033e188?ui=it-IT&amp;rs=en-001&amp;ad=us" TargetMode="External"/><Relationship Id="rId17" Type="http://schemas.openxmlformats.org/officeDocument/2006/relationships/image" Target="../media/image10.svg"/><Relationship Id="rId2" Type="http://schemas.openxmlformats.org/officeDocument/2006/relationships/hyperlink" Target="#'Concetti di base'!A60"/><Relationship Id="rId16" Type="http://schemas.openxmlformats.org/officeDocument/2006/relationships/image" Target="../media/image9.pn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hyperlink" Target="https://support.office.com/it-IT/article/excel-functions-by-category-5f91f4e9-7b42-46d2-9bd1-63f26a86c0eb?ui=it-IT&amp;rs=en-001&amp;ad=us" TargetMode="External"/><Relationship Id="rId5" Type="http://schemas.openxmlformats.org/officeDocument/2006/relationships/image" Target="../media/image3.png"/><Relationship Id="rId15" Type="http://schemas.openxmlformats.org/officeDocument/2006/relationships/image" Target="../media/image8.svg"/><Relationship Id="rId10" Type="http://schemas.openxmlformats.org/officeDocument/2006/relationships/hyperlink" Target="https://support.office.com/it-IT/article/overview-of-formulas-in-excel-ecfdc708-9162-49e8-b993-c311f47ca173?ui=it-IT&amp;rs=en-001&amp;ad=us" TargetMode="External"/><Relationship Id="rId19" Type="http://schemas.openxmlformats.org/officeDocument/2006/relationships/image" Target="../media/image12.png"/><Relationship Id="rId4" Type="http://schemas.openxmlformats.org/officeDocument/2006/relationships/hyperlink" Target="#'Inizio'!A1"/><Relationship Id="rId9" Type="http://schemas.openxmlformats.org/officeDocument/2006/relationships/image" Target="../media/image6.svg"/><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hyperlink" Target="https://support.office.com/it-IT/article/excel-for-windows-training-9bc05390-e94c-46af-a5b3-d7c22f6990bb?ui=it-IT&amp;rs=en-001&amp;ad=us" TargetMode="External"/><Relationship Id="rId13" Type="http://schemas.openxmlformats.org/officeDocument/2006/relationships/image" Target="../media/image8.svg"/><Relationship Id="rId3" Type="http://schemas.openxmlformats.org/officeDocument/2006/relationships/hyperlink" Target="https://support.office.com/it-IT/article/sum-function-043e1c7d-7726-4e80-8f32-07b23e057f89?ui=it-IT&amp;rs=en-001&amp;ad=us" TargetMode="External"/><Relationship Id="rId7" Type="http://schemas.openxmlformats.org/officeDocument/2006/relationships/hyperlink" Target="https://support.office.com/it-IT/article/count-function-a59cd7fc-b623-4d93-87a4-d23bf411294c?ui=it-IT&amp;rs=en-001&amp;ad=us" TargetMode="External"/><Relationship Id="rId12" Type="http://schemas.openxmlformats.org/officeDocument/2006/relationships/image" Target="../media/image7.png"/><Relationship Id="rId17" Type="http://schemas.openxmlformats.org/officeDocument/2006/relationships/hyperlink" Target="#'Introduzione alle funzioni'!A63"/><Relationship Id="rId2" Type="http://schemas.openxmlformats.org/officeDocument/2006/relationships/hyperlink" Target="#MEDIA!A1"/><Relationship Id="rId16" Type="http://schemas.openxmlformats.org/officeDocument/2006/relationships/image" Target="../media/image16.png"/><Relationship Id="rId1" Type="http://schemas.openxmlformats.org/officeDocument/2006/relationships/hyperlink" Target="#'Introduzione alle funzioni'!A1"/><Relationship Id="rId6" Type="http://schemas.openxmlformats.org/officeDocument/2006/relationships/hyperlink" Target="https://support.office.com/it-IT/article/use-autosum-to-sum-numbers-543941e7-e783-44ef-8317-7d1bb85fe706?ui=it-IT&amp;rs=en-001&amp;ad=us" TargetMode="External"/><Relationship Id="rId11" Type="http://schemas.openxmlformats.org/officeDocument/2006/relationships/image" Target="../media/image15.png"/><Relationship Id="rId5" Type="http://schemas.openxmlformats.org/officeDocument/2006/relationships/image" Target="../media/image6.svg"/><Relationship Id="rId15" Type="http://schemas.openxmlformats.org/officeDocument/2006/relationships/image" Target="../media/image4.svg"/><Relationship Id="rId10" Type="http://schemas.openxmlformats.org/officeDocument/2006/relationships/image" Target="../media/image14.svg"/><Relationship Id="rId4" Type="http://schemas.openxmlformats.org/officeDocument/2006/relationships/image" Target="../media/image5.png"/><Relationship Id="rId9" Type="http://schemas.openxmlformats.org/officeDocument/2006/relationships/image" Target="../media/image13.png"/><Relationship Id="rId14"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it-IT/article/median-function-d0916313-4753-414c-8537-ce85bdd967d2?ui=it-IT&amp;rs=en-001&amp;ad=us" TargetMode="External"/><Relationship Id="rId3" Type="http://schemas.openxmlformats.org/officeDocument/2006/relationships/hyperlink" Target="#'Introduzione alle funzioni'!A1"/><Relationship Id="rId7" Type="http://schemas.openxmlformats.org/officeDocument/2006/relationships/image" Target="../media/image6.svg"/><Relationship Id="rId12" Type="http://schemas.openxmlformats.org/officeDocument/2006/relationships/image" Target="../media/image8.sv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image" Target="../media/image7.png"/><Relationship Id="rId5" Type="http://schemas.openxmlformats.org/officeDocument/2006/relationships/hyperlink" Target="https://support.office.com/it-IT/article/average-function-047bac88-d466-426c-a32b-8f33eb960cf6?ui=it-IT&amp;rs=en-001&amp;ad=us" TargetMode="External"/><Relationship Id="rId10" Type="http://schemas.openxmlformats.org/officeDocument/2006/relationships/hyperlink" Target="https://support.office.com/it-IT/article/excel-for-windows-training-9bc05390-e94c-46af-a5b3-d7c22f6990bb?ui=it-IT&amp;rs=en-001&amp;ad=us" TargetMode="External"/><Relationship Id="rId4" Type="http://schemas.openxmlformats.org/officeDocument/2006/relationships/hyperlink" Target="#'MIN e MAX'!A1"/><Relationship Id="rId9" Type="http://schemas.openxmlformats.org/officeDocument/2006/relationships/hyperlink" Target="https://support.office.com/it-IT/article/mode-function-e45192ce-9122-4980-82ed-4bdc34973120?ocmsassetid=e45192ce-9122-4980-82ed-4bdc34973120&amp;ui=it-IT&amp;rs=en-001&amp;ad=us"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MEDIA!A1"/><Relationship Id="rId3" Type="http://schemas.openxmlformats.org/officeDocument/2006/relationships/image" Target="../media/image6.svg"/><Relationship Id="rId7" Type="http://schemas.openxmlformats.org/officeDocument/2006/relationships/image" Target="../media/image10.svg"/><Relationship Id="rId2" Type="http://schemas.openxmlformats.org/officeDocument/2006/relationships/image" Target="../media/image5.png"/><Relationship Id="rId1" Type="http://schemas.openxmlformats.org/officeDocument/2006/relationships/hyperlink" Target="https://support.office.com/it-IT/article/min-function-61635d12-920f-4ce2-a70f-96f202dcc152?ui=it-IT&amp;rs=en-001&amp;ad=us" TargetMode="External"/><Relationship Id="rId6" Type="http://schemas.openxmlformats.org/officeDocument/2006/relationships/image" Target="../media/image9.png"/><Relationship Id="rId5" Type="http://schemas.openxmlformats.org/officeDocument/2006/relationships/hyperlink" Target="https://support.office.com/it-IT/article/excel-for-windows-training-9bc05390-e94c-46af-a5b3-d7c22f6990bb?ui=it-IT&amp;rs=en-001&amp;ad=us" TargetMode="External"/><Relationship Id="rId4" Type="http://schemas.openxmlformats.org/officeDocument/2006/relationships/hyperlink" Target="https://support.office.com/it-IT/article/max-function-e0012414-9ac8-4b34-9a47-73e662c08098?ui=it-IT&amp;rs=en-001&amp;ad=us" TargetMode="External"/><Relationship Id="rId9" Type="http://schemas.openxmlformats.org/officeDocument/2006/relationships/hyperlink" Target="#'Data e ora'!A1"/></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it-IT/article/now-function-3337fd29-145a-4347-b2e6-20c904739c46?ui=it-IT&amp;rs=en-001&amp;ad=us" TargetMode="External"/><Relationship Id="rId3" Type="http://schemas.openxmlformats.org/officeDocument/2006/relationships/hyperlink" Target="#'MIN e MAX'!A1"/><Relationship Id="rId7" Type="http://schemas.openxmlformats.org/officeDocument/2006/relationships/image" Target="../media/image6.svg"/><Relationship Id="rId12" Type="http://schemas.openxmlformats.org/officeDocument/2006/relationships/image" Target="../media/image14.sv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5.png"/><Relationship Id="rId11" Type="http://schemas.openxmlformats.org/officeDocument/2006/relationships/image" Target="../media/image13.png"/><Relationship Id="rId5" Type="http://schemas.openxmlformats.org/officeDocument/2006/relationships/hyperlink" Target="https://support.office.com/it-IT/article/today-function-5eb3078d-a82c-4736-8930-2f51a028fdd9?ui=it-IT&amp;rs=en-001&amp;ad=us" TargetMode="External"/><Relationship Id="rId10" Type="http://schemas.openxmlformats.org/officeDocument/2006/relationships/hyperlink" Target="https://support.office.com/it-IT/article/date-function-e36c0c8c-4104-49da-ab83-82328b832349?ui=it-IT&amp;rs=en-001&amp;ad=us" TargetMode="External"/><Relationship Id="rId4" Type="http://schemas.openxmlformats.org/officeDocument/2006/relationships/hyperlink" Target="#'Unire testo e numeri'!A1"/><Relationship Id="rId9" Type="http://schemas.openxmlformats.org/officeDocument/2006/relationships/hyperlink" Target="https://support.office.com/it-IT/article/excel-for-windows-training-9bc05390-e94c-46af-a5b3-d7c22f6990bb?ui=it-IT&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support.office.com/it-IT/article/combine-text-and-numbers-a32c8e0e-90a2-435b-8635-5dd2209044ad?ui=it-IT&amp;rs=en-001&amp;ad=us" TargetMode="External"/><Relationship Id="rId3" Type="http://schemas.openxmlformats.org/officeDocument/2006/relationships/image" Target="../media/image17.png"/><Relationship Id="rId7" Type="http://schemas.openxmlformats.org/officeDocument/2006/relationships/image" Target="../media/image6.svg"/><Relationship Id="rId12" Type="http://schemas.openxmlformats.org/officeDocument/2006/relationships/image" Target="../media/image8.svg"/><Relationship Id="rId2" Type="http://schemas.openxmlformats.org/officeDocument/2006/relationships/hyperlink" Target="#'Istruzioni SE'!A1"/><Relationship Id="rId1" Type="http://schemas.openxmlformats.org/officeDocument/2006/relationships/hyperlink" Target="#'Data e ora'!A1"/><Relationship Id="rId6" Type="http://schemas.openxmlformats.org/officeDocument/2006/relationships/image" Target="../media/image5.png"/><Relationship Id="rId11" Type="http://schemas.openxmlformats.org/officeDocument/2006/relationships/image" Target="../media/image7.png"/><Relationship Id="rId5" Type="http://schemas.openxmlformats.org/officeDocument/2006/relationships/hyperlink" Target="https://support.office.com/it-IT/article/text-function-20d5ac4d-7b94-49fd-bb38-93d29371225c?ui=it-IT&amp;rs=en-001&amp;ad=us" TargetMode="External"/><Relationship Id="rId10" Type="http://schemas.openxmlformats.org/officeDocument/2006/relationships/hyperlink" Target="#'Unire testo e numeri'!A60"/><Relationship Id="rId4" Type="http://schemas.openxmlformats.org/officeDocument/2006/relationships/image" Target="../media/image18.svg"/><Relationship Id="rId9" Type="http://schemas.openxmlformats.org/officeDocument/2006/relationships/hyperlink" Target="https://support.office.com/it-IT/article/excel-for-windows-training-9bc05390-e94c-46af-a5b3-d7c22f6990bb?ui=it-IT&amp;rs=en-001&amp;ad=us"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image" Target="../media/image6.svg"/><Relationship Id="rId3" Type="http://schemas.openxmlformats.org/officeDocument/2006/relationships/image" Target="../media/image14.svg"/><Relationship Id="rId7" Type="http://schemas.openxmlformats.org/officeDocument/2006/relationships/image" Target="../media/image9.png"/><Relationship Id="rId12" Type="http://schemas.openxmlformats.org/officeDocument/2006/relationships/image" Target="../media/image5.png"/><Relationship Id="rId17" Type="http://schemas.openxmlformats.org/officeDocument/2006/relationships/image" Target="../media/image21.png"/><Relationship Id="rId2" Type="http://schemas.openxmlformats.org/officeDocument/2006/relationships/image" Target="../media/image13.png"/><Relationship Id="rId16" Type="http://schemas.openxmlformats.org/officeDocument/2006/relationships/hyperlink" Target="https://support.office.com/it-IT/article/if-function-&#8211;-nested-formulas-and-avoiding-pitfalls-0b22ff44-f149-44ba-aeb5-4ef99da241c8?ui=it-IT&amp;rs=en-001&amp;ad=us" TargetMode="External"/><Relationship Id="rId1" Type="http://schemas.openxmlformats.org/officeDocument/2006/relationships/hyperlink" Target="#CERCA.VERT!A1"/><Relationship Id="rId6" Type="http://schemas.openxmlformats.org/officeDocument/2006/relationships/hyperlink" Target="https://support.office.com/it-it/article/definire-e-utilizzare-nomi-nelle-formule-4d0f13ac-53b7-422e-afd2-abd7ff379c64?omkt=it-IT&amp;ui=it-IT&amp;rs=it-IT&amp;ad=IT" TargetMode="External"/><Relationship Id="rId11" Type="http://schemas.openxmlformats.org/officeDocument/2006/relationships/hyperlink" Target="https://support.office.com/it-IT/article/if-function-69aed7c9-4e8a-4755-a9bc-aa8bbff73be2?ui=it-IT&amp;rs=en-001&amp;ad=us" TargetMode="External"/><Relationship Id="rId5" Type="http://schemas.openxmlformats.org/officeDocument/2006/relationships/image" Target="../media/image20.svg"/><Relationship Id="rId15" Type="http://schemas.openxmlformats.org/officeDocument/2006/relationships/hyperlink" Target="https://support.office.com/it-IT/article/excel-for-windows-training-9bc05390-e94c-46af-a5b3-d7c22f6990bb?ui=it-IT&amp;rs=en-001&amp;ad=us" TargetMode="External"/><Relationship Id="rId10" Type="http://schemas.openxmlformats.org/officeDocument/2006/relationships/hyperlink" Target="#'Unire testo e numeri'!A1"/><Relationship Id="rId4" Type="http://schemas.openxmlformats.org/officeDocument/2006/relationships/image" Target="../media/image19.png"/><Relationship Id="rId9" Type="http://schemas.openxmlformats.org/officeDocument/2006/relationships/hyperlink" Target="#'Istruzioni SE'!A60"/><Relationship Id="rId14" Type="http://schemas.openxmlformats.org/officeDocument/2006/relationships/hyperlink" Target="https://support.office.com/it-IT/article/ifs-function-36329a26-37b2-467c-972b-4a39bd951d45?ui=it-IT&amp;rs=en-001&amp;ad=us"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support.office.com/it-IT/article/create-a-pivottable-to-analyze-worksheet-data-a9a84538-bfe9-40a9-a8e9-f99134456576?ui=it-IT&amp;rs=en-001&amp;ad=us" TargetMode="External"/><Relationship Id="rId13" Type="http://schemas.openxmlformats.org/officeDocument/2006/relationships/image" Target="../media/image22.png"/><Relationship Id="rId3" Type="http://schemas.openxmlformats.org/officeDocument/2006/relationships/image" Target="../media/image5.png"/><Relationship Id="rId7" Type="http://schemas.openxmlformats.org/officeDocument/2006/relationships/hyperlink" Target="https://support.office.com/it-IT/article/iferror-function-c526fd07-caeb-47b8-8bb6-63f3e417f611?ui=it-IT&amp;rs=en-001&amp;ad=us" TargetMode="External"/><Relationship Id="rId12" Type="http://schemas.openxmlformats.org/officeDocument/2006/relationships/image" Target="../media/image14.svg"/><Relationship Id="rId2" Type="http://schemas.openxmlformats.org/officeDocument/2006/relationships/hyperlink" Target="https://support.office.com/it-IT/article/vlookup-function-0bbc8083-26fe-4963-8ab8-93a18ad188a1" TargetMode="External"/><Relationship Id="rId1" Type="http://schemas.openxmlformats.org/officeDocument/2006/relationships/hyperlink" Target="#'Funzioni condizionali'!A1"/><Relationship Id="rId6" Type="http://schemas.openxmlformats.org/officeDocument/2006/relationships/hyperlink" Target="https://support.office.com/it-IT/article/excel-for-windows-training-9bc05390-e94c-46af-a5b3-d7c22f6990bb?ui=it-IT&amp;rs=en-001&amp;ad=us" TargetMode="External"/><Relationship Id="rId11" Type="http://schemas.openxmlformats.org/officeDocument/2006/relationships/image" Target="../media/image13.png"/><Relationship Id="rId5" Type="http://schemas.openxmlformats.org/officeDocument/2006/relationships/hyperlink" Target="https://support.office.com/it-IT/article/match-function-e8dffd45-c762-47d6-bf89-533f4a37673a" TargetMode="External"/><Relationship Id="rId10" Type="http://schemas.openxmlformats.org/officeDocument/2006/relationships/hyperlink" Target="#'Istruzioni SE'!A1"/><Relationship Id="rId4" Type="http://schemas.openxmlformats.org/officeDocument/2006/relationships/image" Target="../media/image6.svg"/><Relationship Id="rId9" Type="http://schemas.openxmlformats.org/officeDocument/2006/relationships/hyperlink" Target="#CERCA.VERT!A62"/><Relationship Id="rId14" Type="http://schemas.openxmlformats.org/officeDocument/2006/relationships/image" Target="../media/image23.sv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it-IT/article/maxifs-function-dfd611e6-da2c-488a-919b-9b6376b28883?ui=it-IT&amp;rs=en-001&amp;ad=us" TargetMode="External"/><Relationship Id="rId13" Type="http://schemas.openxmlformats.org/officeDocument/2006/relationships/hyperlink" Target="https://support.office.com/it-IT/article/sumifs-function-c9e748f5-7ea7-455d-9406-611cebce642b?ui=it-IT&amp;rs=en-001&amp;ad=us" TargetMode="External"/><Relationship Id="rId18" Type="http://schemas.openxmlformats.org/officeDocument/2006/relationships/image" Target="../media/image19.png"/><Relationship Id="rId3" Type="http://schemas.openxmlformats.org/officeDocument/2006/relationships/hyperlink" Target="#'Creazione guidata Funzione'!A1"/><Relationship Id="rId21" Type="http://schemas.openxmlformats.org/officeDocument/2006/relationships/hyperlink" Target="#'Funzioni condizionali'!A130"/><Relationship Id="rId7" Type="http://schemas.openxmlformats.org/officeDocument/2006/relationships/image" Target="../media/image6.svg"/><Relationship Id="rId12" Type="http://schemas.openxmlformats.org/officeDocument/2006/relationships/hyperlink" Target="https://support.office.com/it-IT/article/countifs-function-dda3dc6e-f74e-4aee-88bc-aa8c2a866842?ui=it-IT&amp;rs=en-001&amp;ad=us" TargetMode="External"/><Relationship Id="rId17" Type="http://schemas.openxmlformats.org/officeDocument/2006/relationships/hyperlink" Target="https://support.office.com/it-it/article/creare-una-tabella-pivot-per-analizzare-i-dati-di-un-foglio-di-lavoro-a9a84538-bfe9-40a9-a8e9-f99134456576?omkt=it-IT&amp;ui=it-IT&amp;rs=it-IT&amp;ad=IT" TargetMode="External"/><Relationship Id="rId2" Type="http://schemas.openxmlformats.org/officeDocument/2006/relationships/image" Target="../media/image10.svg"/><Relationship Id="rId16" Type="http://schemas.openxmlformats.org/officeDocument/2006/relationships/hyperlink" Target="https://support.office.com/it-IT/article/create-a-drop-down-list-7693307a-59ef-400a-b769-c5402dce407b?ui=it-IT&amp;rs=en-001&amp;ad=us" TargetMode="External"/><Relationship Id="rId20" Type="http://schemas.openxmlformats.org/officeDocument/2006/relationships/hyperlink" Target="#'Funzioni condizionali'!A85"/><Relationship Id="rId1" Type="http://schemas.openxmlformats.org/officeDocument/2006/relationships/image" Target="../media/image9.png"/><Relationship Id="rId6" Type="http://schemas.openxmlformats.org/officeDocument/2006/relationships/image" Target="../media/image5.png"/><Relationship Id="rId11" Type="http://schemas.openxmlformats.org/officeDocument/2006/relationships/hyperlink" Target="https://support.office.com/it-IT/article/minifs-function-6ca1ddaa-079b-4e74-80cc-72eef32e6599?ui=it-IT&amp;rs=en-001&amp;ad=us" TargetMode="External"/><Relationship Id="rId5" Type="http://schemas.openxmlformats.org/officeDocument/2006/relationships/hyperlink" Target="https://support.office.com/it-IT/article/excel-for-windows-training-9bc05390-e94c-46af-a5b3-d7c22f6990bb?ui=it-IT&amp;rs=en-001&amp;ad=us" TargetMode="External"/><Relationship Id="rId15" Type="http://schemas.openxmlformats.org/officeDocument/2006/relationships/hyperlink" Target="https://support.office.com/it-IT/article/countif-function-e0de10c6-f885-4e71-abb4-1f464816df34?ui=it-IT&amp;rs=en-001&amp;ad=us" TargetMode="External"/><Relationship Id="rId10" Type="http://schemas.openxmlformats.org/officeDocument/2006/relationships/hyperlink" Target="https://support.office.com/it-IT/article/averageif-function-faec8e2e-0dec-4308-af69-f5576d8ac642?ui=it-IT&amp;rs=en-001&amp;ad=us" TargetMode="External"/><Relationship Id="rId19" Type="http://schemas.openxmlformats.org/officeDocument/2006/relationships/image" Target="../media/image20.svg"/><Relationship Id="rId4" Type="http://schemas.openxmlformats.org/officeDocument/2006/relationships/hyperlink" Target="#'Funzioni condizionali'!A1"/><Relationship Id="rId9" Type="http://schemas.openxmlformats.org/officeDocument/2006/relationships/hyperlink" Target="https://support.office.com/it-IT/article/averageifs-function-48910c45-1fc0-4389-a028-f7c5c3001690?ui=it-IT&amp;rs=en-001&amp;ad=us" TargetMode="External"/><Relationship Id="rId14" Type="http://schemas.openxmlformats.org/officeDocument/2006/relationships/hyperlink" Target="https://support.office.com/it-IT/article/sumif-function-169b8c99-c05c-4483-a712-1697a653039b?ui=it-IT&amp;rs=en-001&amp;ad=us" TargetMode="External"/><Relationship Id="rId22" Type="http://schemas.openxmlformats.org/officeDocument/2006/relationships/hyperlink" Target="#'Funzioni condizionali'!A138"/></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it-IT/article/excel-functions-alphabetical-b3944572-255d-4efb-bb96-c6d90033e188?ui=it-IT&amp;rs=en-001&amp;ad=us" TargetMode="External"/><Relationship Id="rId13" Type="http://schemas.openxmlformats.org/officeDocument/2006/relationships/image" Target="../media/image10.svg"/><Relationship Id="rId3" Type="http://schemas.openxmlformats.org/officeDocument/2006/relationships/hyperlink" Target="https://support.office.com/it-IT/article/overview-of-formulas-in-excel-ecfdc708-9162-49e8-b993-c311f47ca173?ui=it-IT&amp;rs=en-001&amp;ad=us" TargetMode="External"/><Relationship Id="rId7" Type="http://schemas.openxmlformats.org/officeDocument/2006/relationships/hyperlink" Target="https://support.office.com/it-IT/article/excel-for-windows-training-9bc05390-e94c-46af-a5b3-d7c22f6990bb?ui=it-IT&amp;rs=en-001&amp;ad=us" TargetMode="External"/><Relationship Id="rId12" Type="http://schemas.openxmlformats.org/officeDocument/2006/relationships/image" Target="../media/image9.png"/><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hyperlink" Target="https://support.office.com/it-IT/article/excel-functions-by-category-5f91f4e9-7b42-46d2-9bd1-63f26a86c0eb?ui=it-IT&amp;rs=en-001&amp;ad=us" TargetMode="External"/><Relationship Id="rId11" Type="http://schemas.openxmlformats.org/officeDocument/2006/relationships/image" Target="../media/image24.png"/><Relationship Id="rId5" Type="http://schemas.openxmlformats.org/officeDocument/2006/relationships/image" Target="../media/image6.svg"/><Relationship Id="rId10" Type="http://schemas.openxmlformats.org/officeDocument/2006/relationships/hyperlink" Target="#'Errori nelle formule'!A1"/><Relationship Id="rId4" Type="http://schemas.openxmlformats.org/officeDocument/2006/relationships/image" Target="../media/image5.png"/><Relationship Id="rId9" Type="http://schemas.openxmlformats.org/officeDocument/2006/relationships/hyperlink" Target="#'Funzioni condizionali'!A1"/></Relationships>
</file>

<file path=xl/drawings/_rels/drawing12.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hyperlink" Target="https://support.office.com/it-IT/article/excel-for-windows-training-9bc05390-e94c-46af-a5b3-d7c22f6990bb?ui=it-IT&amp;rs=en-001&amp;ad=us" TargetMode="External"/><Relationship Id="rId3" Type="http://schemas.openxmlformats.org/officeDocument/2006/relationships/hyperlink" Target="#'Creazione guidata Funzione'!A1"/><Relationship Id="rId7" Type="http://schemas.openxmlformats.org/officeDocument/2006/relationships/image" Target="../media/image9.png"/><Relationship Id="rId12" Type="http://schemas.openxmlformats.org/officeDocument/2006/relationships/hyperlink" Target="https://support.office.com/it-IT/article/how-to-avoid-broken-formulas-8309381d-33e8-42f6-b889-84ef6df1d586?ui=it-IT&amp;rs=en-001&amp;ad=us" TargetMode="External"/><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23.svg"/><Relationship Id="rId11" Type="http://schemas.openxmlformats.org/officeDocument/2006/relationships/image" Target="../media/image6.svg"/><Relationship Id="rId5" Type="http://schemas.openxmlformats.org/officeDocument/2006/relationships/image" Target="../media/image22.png"/><Relationship Id="rId10" Type="http://schemas.openxmlformats.org/officeDocument/2006/relationships/image" Target="../media/image5.png"/><Relationship Id="rId4" Type="http://schemas.openxmlformats.org/officeDocument/2006/relationships/hyperlink" Target="#'Altre informazioni'!A1"/><Relationship Id="rId9" Type="http://schemas.openxmlformats.org/officeDocument/2006/relationships/hyperlink" Target="https://support.office.com/it-IT/article/detect-errors-in-formulas-3a8acca5-1d61-4702-80e0-99a36a2822c1?ui=it-IT&amp;rs=en-001&amp;ad=us" TargetMode="External"/><Relationship Id="rId14" Type="http://schemas.openxmlformats.org/officeDocument/2006/relationships/hyperlink" Target="https://support.office.com/it-IT/article/evaluate-a-nested-formula-one-step-at-a-time-59a201ae-d1dc-4b15-8586-a70aa409b8a7?ui=it-IT&amp;rs=en-001&amp;ad=us"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hyperlink" Target="https://support.office.com/it-IT/article/what-s-new-in-excel-for-office-365-5fdb9208-ff33-45b6-9e08-1f5cdb3a6c73?ui=it-IT&amp;rs=en-001&amp;ad=us" TargetMode="External"/><Relationship Id="rId1" Type="http://schemas.openxmlformats.org/officeDocument/2006/relationships/hyperlink" Target="https://techcommunity.microsoft.com/t5/excel/ct-p/excel_cat" TargetMode="External"/><Relationship Id="rId5" Type="http://schemas.openxmlformats.org/officeDocument/2006/relationships/image" Target="../media/image29.sv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Immagine 1" descr="Logo di Excel">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614864"/>
          <a:ext cx="1879313" cy="996949"/>
        </a:xfrm>
        <a:prstGeom prst="rect">
          <a:avLst/>
        </a:prstGeom>
      </xdr:spPr>
    </xdr:pic>
    <xdr:clientData/>
  </xdr:twoCellAnchor>
  <xdr:absoluteAnchor>
    <xdr:pos x="8343900" y="4779963"/>
    <xdr:ext cx="1303782" cy="514350"/>
    <xdr:sp macro="" textlink="">
      <xdr:nvSpPr>
        <xdr:cNvPr id="3" name="Pulsante Successivo" descr="Forma di pulsante con collegamento ipertestuale per passare al passaggio successivo">
          <a:hlinkClick xmlns:r="http://schemas.openxmlformats.org/officeDocument/2006/relationships" r:id="rId2" tooltip="Seleziona per iniziare il tour"/>
          <a:extLst>
            <a:ext uri="{FF2B5EF4-FFF2-40B4-BE49-F238E27FC236}">
              <a16:creationId xmlns:a16="http://schemas.microsoft.com/office/drawing/2014/main" id="{A16C62F8-5DAF-4A85-B660-EDB91A61244F}"/>
            </a:ext>
          </a:extLst>
        </xdr:cNvPr>
        <xdr:cNvSpPr/>
      </xdr:nvSpPr>
      <xdr:spPr>
        <a:xfrm>
          <a:off x="8343900" y="4779963"/>
          <a:ext cx="130378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i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Iniziamo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oneCell">
    <xdr:from>
      <xdr:col>1</xdr:col>
      <xdr:colOff>5318635</xdr:colOff>
      <xdr:row>26</xdr:row>
      <xdr:rowOff>76199</xdr:rowOff>
    </xdr:from>
    <xdr:to>
      <xdr:col>6</xdr:col>
      <xdr:colOff>393699</xdr:colOff>
      <xdr:row>34</xdr:row>
      <xdr:rowOff>18848</xdr:rowOff>
    </xdr:to>
    <xdr:pic>
      <xdr:nvPicPr>
        <xdr:cNvPr id="3" name="Immagine 2" descr="Le costanti sono i valori che vengono immessi nelle celle o nelle formule. Anche se =10+20 può produrre lo stesso risultato di =A1+B1, è buona norma evitare le costanti. Perché? Poiché per vedere una costante può essere necessario selezionare la cella e cercarla. Di conseguenza può risultare difficile da cambiare in un secondo momento. È molto più semplice inserire le costanti nelle celle, dove possono essere modificate facilmente e aggiunte alle formule mediante riferimento.&#10;">
          <a:extLst>
            <a:ext uri="{FF2B5EF4-FFF2-40B4-BE49-F238E27FC236}">
              <a16:creationId xmlns:a16="http://schemas.microsoft.com/office/drawing/2014/main" id="{3808C00C-1654-4B71-AEA3-B46BBA6A8A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166360" y="5905499"/>
          <a:ext cx="4085714" cy="1609524"/>
        </a:xfrm>
        <a:prstGeom prst="rect">
          <a:avLst/>
        </a:prstGeom>
      </xdr:spPr>
    </xdr:pic>
    <xdr:clientData/>
  </xdr:twoCellAnchor>
  <xdr:twoCellAnchor editAs="absolute">
    <xdr:from>
      <xdr:col>0</xdr:col>
      <xdr:colOff>345256</xdr:colOff>
      <xdr:row>0</xdr:row>
      <xdr:rowOff>352425</xdr:rowOff>
    </xdr:from>
    <xdr:to>
      <xdr:col>1</xdr:col>
      <xdr:colOff>5230819</xdr:colOff>
      <xdr:row>22</xdr:row>
      <xdr:rowOff>104775</xdr:rowOff>
    </xdr:to>
    <xdr:grpSp>
      <xdr:nvGrpSpPr>
        <xdr:cNvPr id="106" name="Gruppo 105">
          <a:extLst>
            <a:ext uri="{FF2B5EF4-FFF2-40B4-BE49-F238E27FC236}">
              <a16:creationId xmlns:a16="http://schemas.microsoft.com/office/drawing/2014/main" id="{B02C2868-90B4-49F8-9B54-D2DE144C06FB}"/>
            </a:ext>
          </a:extLst>
        </xdr:cNvPr>
        <xdr:cNvGrpSpPr/>
      </xdr:nvGrpSpPr>
      <xdr:grpSpPr>
        <a:xfrm>
          <a:off x="345256" y="352425"/>
          <a:ext cx="5733288" cy="4591050"/>
          <a:chOff x="333375" y="266700"/>
          <a:chExt cx="5695950" cy="4572000"/>
        </a:xfrm>
      </xdr:grpSpPr>
      <xdr:grpSp>
        <xdr:nvGrpSpPr>
          <xdr:cNvPr id="107" name="Istruzione per la somma di numeri">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Sfondo" descr="Sfondo">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Passaggio" descr="Concetti di base: matematica con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Concetti di base: matematica con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Pulsante Altri dettagli" descr="Altri dettagli">
              <a:hlinkClick xmlns:r="http://schemas.openxmlformats.org/officeDocument/2006/relationships" r:id="rId2"/>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124" name="Linea inferiore" descr="Linea decorativa">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Pulsante Successivo" descr="Pulsante relativo al passaggio successivo, con un collegamento ipertestuale al foglio successivo">
              <a:hlinkClick xmlns:r="http://schemas.openxmlformats.org/officeDocument/2006/relationships" r:id="rId3" tooltip="Fai clic qui per passare al foglio di lavoro successivo"/>
              <a:extLst>
                <a:ext uri="{FF2B5EF4-FFF2-40B4-BE49-F238E27FC236}">
                  <a16:creationId xmlns:a16="http://schemas.microsoft.com/office/drawing/2014/main" id="{B0BBFD4D-9951-4AC0-8CF1-AD7AD1715BA1}"/>
                </a:ext>
              </a:extLst>
            </xdr:cNvPr>
            <xdr:cNvSpPr/>
          </xdr:nvSpPr>
          <xdr:spPr>
            <a:xfrm>
              <a:off x="3546273" y="3996497"/>
              <a:ext cx="1902028" cy="348492"/>
            </a:xfrm>
            <a:prstGeom prst="rightArrowCallout">
              <a:avLst>
                <a:gd name="adj1" fmla="val 32829"/>
                <a:gd name="adj2" fmla="val 31524"/>
                <a:gd name="adj3" fmla="val 25000"/>
                <a:gd name="adj4" fmla="val 90835"/>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cxnSp macro="">
          <xdr:nvCxnSpPr>
            <xdr:cNvPr id="126" name="Linea superiore" descr="Linea decorativa">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esto_Passaggio" descr="In Excel si può sommare, sottrarre, moltiplicare e dividere senza usare le funzioni predefinite. Basta usare gli operatori +, -, *, /. Tutte le formule iniziano con un segno di uguale (=).">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Excel si può sommare, sottrarre, moltiplicare e dividere senza usare le funzioni predefinite. Basta usare alcuni operatori di base: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Tutte le formule iniziano con un segno di uguale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uppo_Passaggio">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esto_Passaggio" descr="Per sommare, seleziona la cella F3, digita =C3+C4, quindi premi INVIO.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seleziona la cella F3,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quindi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forma_Passaggio"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110" name="gruppo_Passaggio">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esto_Passaggio" descr="Per sottrarre, seleziona la cella F4, digita =C3-C4, quindi premi INVIO.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sottrarre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seleziona la cella F4,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quindi premi </a:t>
              </a:r>
              <a:r>
                <a:rPr lang="i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INVIO</a:t>
              </a:r>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forma_Passaggio"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111" name="gruppo_Passaggio">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esto_Passaggio" descr="Per moltiplicare, seleziona la cella F5, digita =C3*C4, quindi premi INVIO.&#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moltiplicare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seleziona la cella F5,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quindi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forma_Passaggio"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nvGrpSpPr>
          <xdr:cNvPr id="112" name="gruppo_Passaggio">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esto_Passaggio" descr="Per dividere, seleziona la cella F6, digita =C3/C4, quindi premi INVIO.&#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seleziona la cella F6,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quindi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forma_Passaggio"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335731</xdr:colOff>
      <xdr:row>23</xdr:row>
      <xdr:rowOff>0</xdr:rowOff>
    </xdr:from>
    <xdr:to>
      <xdr:col>1</xdr:col>
      <xdr:colOff>5221294</xdr:colOff>
      <xdr:row>52</xdr:row>
      <xdr:rowOff>85517</xdr:rowOff>
    </xdr:to>
    <xdr:sp macro="" textlink="">
      <xdr:nvSpPr>
        <xdr:cNvPr id="128" name="Rettangolo 127" descr="Sfondo">
          <a:extLst>
            <a:ext uri="{FF2B5EF4-FFF2-40B4-BE49-F238E27FC236}">
              <a16:creationId xmlns:a16="http://schemas.microsoft.com/office/drawing/2014/main" id="{C6DA8A49-5A77-4AE2-BD39-5BC07FDB559E}"/>
            </a:ext>
          </a:extLst>
        </xdr:cNvPr>
        <xdr:cNvSpPr/>
      </xdr:nvSpPr>
      <xdr:spPr>
        <a:xfrm>
          <a:off x="33573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Connettore diritto 128" descr="Linea decorativa">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Connettore diritto 129" descr="Linea decorativa">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Passaggio" descr="Altre informazioni su formule, celle e intervalli&#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3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 formule, celle e intervalli</a:t>
          </a:r>
          <a:endParaRPr lang="en-US" sz="2200" b="0" spc="-30" baseline="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257175</xdr:rowOff>
    </xdr:to>
    <xdr:sp macro="" textlink="">
      <xdr:nvSpPr>
        <xdr:cNvPr id="132" name="testo_Passaggio" descr="Excel è costituito da singole celle raggruppate in righe e colonne. Le righe sono numerate, le colonne sono identificate da lettere. Ci sono 1.048.576 righe e 16.384 colonne e si possono inserire formule e funzioni in qualsiasi di esse.">
          <a:extLst>
            <a:ext uri="{FF2B5EF4-FFF2-40B4-BE49-F238E27FC236}">
              <a16:creationId xmlns:a16="http://schemas.microsoft.com/office/drawing/2014/main" id="{C309FDDD-7DD5-4C0A-A9F5-43E33DAD131C}"/>
            </a:ext>
          </a:extLst>
        </xdr:cNvPr>
        <xdr:cNvSpPr txBox="1"/>
      </xdr:nvSpPr>
      <xdr:spPr>
        <a:xfrm>
          <a:off x="469081" y="5656989"/>
          <a:ext cx="5294043" cy="61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è costituito da singole celle raggruppate in righe e colonne. Le righe sono numerate, le colonne sono identificate da lettere. Sono presenti più di 1 milione di righe e 16.000 colonne e si possono inserire formule in qualsiasi di esse.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esto_Passaggio"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Le formule possono contenere riferimenti di cella, intervalli di riferimenti di cella, operatori e costanti. Ecco alcuni esempi di formule:</a:t>
          </a:r>
        </a:p>
        <a:p>
          <a:pPr marL="457200" marR="0" lvl="1"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=SOMMA(A1:A10)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40</xdr:row>
      <xdr:rowOff>85725</xdr:rowOff>
    </xdr:to>
    <xdr:sp macro="" textlink="">
      <xdr:nvSpPr>
        <xdr:cNvPr id="134" name="testo_Passaggio" descr="Nel terzo esempio abbiamo usato la funzione SOMMA. Una funzione è un comando predefinito che prende uno o più valori, li calcola in un certo modo e restituisce un risultato. Ad esempio, la funzione SOMMA prende i riferimenti di cella o gli intervalli di celle specificati e ne calcola il totale. In questo esempio prende le celle da A1 a A10 e ne calcola il totale. Excel include più di 400 funzioni, disponibili nella scheda Formule.&#10;">
          <a:extLst>
            <a:ext uri="{FF2B5EF4-FFF2-40B4-BE49-F238E27FC236}">
              <a16:creationId xmlns:a16="http://schemas.microsoft.com/office/drawing/2014/main" id="{73D9B0E0-3581-491E-A150-07F5BAA0F86D}"/>
            </a:ext>
          </a:extLst>
        </xdr:cNvPr>
        <xdr:cNvSpPr txBox="1"/>
      </xdr:nvSpPr>
      <xdr:spPr>
        <a:xfrm>
          <a:off x="469081" y="7520140"/>
          <a:ext cx="5429250" cy="1204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 terzo esempio abbiamo usato 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Una funzione è un comando predefinito che prende uno o più valori, li calcola in un certo modo e restituisce un risultato. Ad esempio, 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prende i riferimenti di cella o gli intervalli di celle specificati e ne calcola il totale. In questo esempio prende le celle da A1 a A10 e ne calcola il totale. Excel include più di 400 funzioni, disponibili nella scheda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esto_Passaggio" descr="Le formule con funzioni iniziano con un segno di uguale, seguito dal nome della funzione con i relativi argomenti (i valori usati dalla funzione per il calcolo) racchiusi tra parentesi.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Le formule con funzioni iniziano con un segno di uguale seguito dal nome della funzione con i relativi argomenti (i valori usati dalla funzione per il calcolo) racchiusi tra parentesi.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esto_Passaggio" descr="Per confermare una formula bisogna premere INVIO. A questo punto viene eseguito il calcolo della formula e nella cella viene visualizzato il risultato. Per vedere la formula vera e propria, osserva la barra della formula sotto la barra multifunzione oppure premi F2 per attivare la modalità di modifica, che consente di visualizzare la formula nella cella. Premi di nuovo INVIO per completare la formula e calcolare il risultato.&#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confermare una formula, bisogna premere </a:t>
          </a:r>
          <a:r>
            <a:rPr lang="it" sz="1100" b="1"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questo punto viene eseguito il calcolo della formula e nella cella viene visualizzato il risultato. Per vedere la formula vera e propria, osserva la barra della formula sotto la barra multifunzione oppure premi </a:t>
          </a:r>
          <a:r>
            <a:rPr lang="it" sz="1100" b="1"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lang="it"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attivare la modalità di modifica, che consente di visualizzare la formula nella cella. Premi di nuovo </a:t>
          </a:r>
          <a:r>
            <a:rPr lang="it" sz="1100" b="1"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completare la formula e calcolare il risultato.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ulsanteIndietro" descr="Torna al foglio precedente">
          <a:hlinkClick xmlns:r="http://schemas.openxmlformats.org/officeDocument/2006/relationships" r:id="rId4" tooltip="Fai clic qui per tornare al foglio precedente"/>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PulsanteAvanti" descr="Passa al foglio successivo">
          <a:hlinkClick xmlns:r="http://schemas.openxmlformats.org/officeDocument/2006/relationships" r:id="rId3" tooltip="Fai clic qui per passare al foglio successivo"/>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5</xdr:col>
      <xdr:colOff>383356</xdr:colOff>
      <xdr:row>6</xdr:row>
      <xdr:rowOff>114299</xdr:rowOff>
    </xdr:from>
    <xdr:to>
      <xdr:col>8</xdr:col>
      <xdr:colOff>381001</xdr:colOff>
      <xdr:row>13</xdr:row>
      <xdr:rowOff>161924</xdr:rowOff>
    </xdr:to>
    <xdr:grpSp>
      <xdr:nvGrpSpPr>
        <xdr:cNvPr id="139" name="CREDITO EXTRA" descr="CREDITO EXTRA&#10;&#10;">
          <a:extLst>
            <a:ext uri="{FF2B5EF4-FFF2-40B4-BE49-F238E27FC236}">
              <a16:creationId xmlns:a16="http://schemas.microsoft.com/office/drawing/2014/main" id="{34B095E6-B82C-4533-81A2-82946450BAFD}"/>
            </a:ext>
          </a:extLst>
        </xdr:cNvPr>
        <xdr:cNvGrpSpPr/>
      </xdr:nvGrpSpPr>
      <xdr:grpSpPr>
        <a:xfrm>
          <a:off x="9193981" y="1895474"/>
          <a:ext cx="2540820" cy="1390650"/>
          <a:chOff x="9048750" y="3743325"/>
          <a:chExt cx="2525983" cy="1380314"/>
        </a:xfrm>
      </xdr:grpSpPr>
      <xdr:sp macro="" textlink="">
        <xdr:nvSpPr>
          <xdr:cNvPr id="140" name="Passaggio"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3"/>
            <a:ext cx="1926090" cy="1227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panose="020B0502040204020203" pitchFamily="34" charset="0"/>
              </a:rPr>
              <a:t>CREDITO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Per elevare un valore a una potenza, usa il simbolo dell'accento circonflesso (</a:t>
            </a:r>
            <a:r>
              <a:rPr lang="it" sz="1100" b="1" i="0" kern="1200" baseline="0">
                <a:solidFill>
                  <a:schemeClr val="dk1"/>
                </a:solidFill>
                <a:effectLst/>
                <a:latin typeface="+mn-lt"/>
                <a:ea typeface="+mn-ea"/>
                <a:cs typeface="+mn-cs"/>
              </a:rPr>
              <a:t>^</a:t>
            </a:r>
            <a:r>
              <a:rPr lang="it" sz="1100" b="0" i="0" kern="1200" baseline="0">
                <a:solidFill>
                  <a:schemeClr val="dk1"/>
                </a:solidFill>
                <a:effectLst/>
                <a:latin typeface="+mn-lt"/>
                <a:ea typeface="+mn-ea"/>
                <a:cs typeface="+mn-cs"/>
              </a:rPr>
              <a:t>), ad esempio =C3^C4. Per immetterlo, premi </a:t>
            </a:r>
            <a:r>
              <a:rPr lang="it" sz="1100" b="1" i="0" kern="1200" baseline="0">
                <a:solidFill>
                  <a:schemeClr val="dk1"/>
                </a:solidFill>
                <a:effectLst/>
                <a:latin typeface="+mn-lt"/>
                <a:ea typeface="+mn-ea"/>
                <a:cs typeface="+mn-cs"/>
              </a:rPr>
              <a:t>MAIUSC+</a:t>
            </a:r>
            <a:r>
              <a:rPr lang="it-IT" sz="1100" b="1" i="0" kern="1200" baseline="0">
                <a:solidFill>
                  <a:schemeClr val="dk1"/>
                </a:solidFill>
                <a:effectLst/>
                <a:latin typeface="+mn-lt"/>
                <a:ea typeface="+mn-ea"/>
                <a:cs typeface="+mn-cs"/>
              </a:rPr>
              <a:t>ì</a:t>
            </a:r>
            <a:r>
              <a:rPr lang="it" sz="1100" b="0" i="0" kern="1200" baseline="0">
                <a:solidFill>
                  <a:schemeClr val="dk1"/>
                </a:solidFill>
                <a:effectLst/>
                <a:latin typeface="+mn-lt"/>
                <a:ea typeface="+mn-ea"/>
                <a:cs typeface="+mn-cs"/>
              </a:rPr>
              <a:t>.</a:t>
            </a:r>
          </a:p>
        </xdr:txBody>
      </xdr:sp>
      <xdr:pic>
        <xdr:nvPicPr>
          <xdr:cNvPr id="141" name="Barra multifunzione Credito extra" descr="Nastro decorativo">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87099" y="3950551"/>
            <a:ext cx="474289" cy="439736"/>
          </a:xfrm>
          <a:prstGeom prst="rect">
            <a:avLst/>
          </a:prstGeom>
        </xdr:spPr>
      </xdr:pic>
      <xdr:sp macro="" textlink="">
        <xdr:nvSpPr>
          <xdr:cNvPr id="142" name="Freccia Credito extra" descr="Freccia">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absolute">
    <xdr:from>
      <xdr:col>0</xdr:col>
      <xdr:colOff>333375</xdr:colOff>
      <xdr:row>53</xdr:row>
      <xdr:rowOff>47624</xdr:rowOff>
    </xdr:from>
    <xdr:to>
      <xdr:col>1</xdr:col>
      <xdr:colOff>5218938</xdr:colOff>
      <xdr:row>67</xdr:row>
      <xdr:rowOff>152399</xdr:rowOff>
    </xdr:to>
    <xdr:grpSp>
      <xdr:nvGrpSpPr>
        <xdr:cNvPr id="143" name="Gruppo 142">
          <a:extLst>
            <a:ext uri="{FF2B5EF4-FFF2-40B4-BE49-F238E27FC236}">
              <a16:creationId xmlns:a16="http://schemas.microsoft.com/office/drawing/2014/main" id="{79AC946A-932E-4F38-8B0A-9F23F83F1E52}"/>
            </a:ext>
          </a:extLst>
        </xdr:cNvPr>
        <xdr:cNvGrpSpPr/>
      </xdr:nvGrpSpPr>
      <xdr:grpSpPr>
        <a:xfrm>
          <a:off x="333375" y="11163299"/>
          <a:ext cx="5733288" cy="2771775"/>
          <a:chOff x="350069" y="11620499"/>
          <a:chExt cx="5733288" cy="2771775"/>
        </a:xfrm>
      </xdr:grpSpPr>
      <xdr:sp macro="" textlink="">
        <xdr:nvSpPr>
          <xdr:cNvPr id="144" name="Rettangolo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5" name="Passaggio" descr="Altre informazioni sul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Connettore diritto 145" descr="Linea decorativa">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Connettore diritto 146" descr="Linea decorativa">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uppo 147">
          <a:extLst>
            <a:ext uri="{FF2B5EF4-FFF2-40B4-BE49-F238E27FC236}">
              <a16:creationId xmlns:a16="http://schemas.microsoft.com/office/drawing/2014/main" id="{CA7B2371-3B06-4B9B-9469-235F43CE38D0}"/>
            </a:ext>
          </a:extLst>
        </xdr:cNvPr>
        <xdr:cNvGrpSpPr/>
      </xdr:nvGrpSpPr>
      <xdr:grpSpPr>
        <a:xfrm>
          <a:off x="555326" y="11761970"/>
          <a:ext cx="2769922" cy="377773"/>
          <a:chOff x="552970" y="11990570"/>
          <a:chExt cx="2769922" cy="377773"/>
        </a:xfrm>
      </xdr:grpSpPr>
      <xdr:sp macro="" textlink="">
        <xdr:nvSpPr>
          <xdr:cNvPr id="149" name="Passaggio" descr="Informazioni complete sulla funzione MEDIA, con collegamento ipertestuale al Web&#10;&#10;">
            <a:hlinkClick xmlns:r="http://schemas.openxmlformats.org/officeDocument/2006/relationships" r:id="rId7" tooltip="Seleziona per ottenere informazioni complete dal Web sull'uso di Excel come calcolatrice"/>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Usare Excel come calcolatrice</a:t>
            </a:r>
          </a:p>
        </xdr:txBody>
      </xdr:sp>
      <xdr:pic>
        <xdr:nvPicPr>
          <xdr:cNvPr id="150" name="Elemento grafico 22" descr="Seleziona per ottenere altre informazioni dal Web">
            <a:hlinkClick xmlns:r="http://schemas.openxmlformats.org/officeDocument/2006/relationships" r:id="rId7" tooltip="Seleziona per ottenere altre informazioni dal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uppo 150" descr="Panoramica delle formule in Excel">
          <a:extLst>
            <a:ext uri="{FF2B5EF4-FFF2-40B4-BE49-F238E27FC236}">
              <a16:creationId xmlns:a16="http://schemas.microsoft.com/office/drawing/2014/main" id="{DBBBF993-8DF8-4B72-8129-E3AA07A81756}"/>
            </a:ext>
          </a:extLst>
        </xdr:cNvPr>
        <xdr:cNvGrpSpPr/>
      </xdr:nvGrpSpPr>
      <xdr:grpSpPr>
        <a:xfrm>
          <a:off x="555326" y="12148000"/>
          <a:ext cx="2797534" cy="383360"/>
          <a:chOff x="552970" y="12376600"/>
          <a:chExt cx="2797534" cy="383360"/>
        </a:xfrm>
      </xdr:grpSpPr>
      <xdr:sp macro="" textlink="">
        <xdr:nvSpPr>
          <xdr:cNvPr id="152" name="Passaggio" descr="Informazioni complete sulla funzione CONTA.NUMERI, con collegamento ipertestuale al Web&#10;">
            <a:hlinkClick xmlns:r="http://schemas.openxmlformats.org/officeDocument/2006/relationships" r:id="rId10" tooltip="Seleziona per ottenere informazioni complete dal Web sulle formule di Excel"/>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Panoramica delle formule in Excel</a:t>
            </a:r>
          </a:p>
        </xdr:txBody>
      </xdr:sp>
      <xdr:pic>
        <xdr:nvPicPr>
          <xdr:cNvPr id="153" name="Elemento grafico 22" descr="Seleziona per ottenere altre informazioni dal Web">
            <a:hlinkClick xmlns:r="http://schemas.openxmlformats.org/officeDocument/2006/relationships" r:id="rId10" tooltip="Seleziona per ottenere altre informazioni dal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3505200</xdr:colOff>
      <xdr:row>62</xdr:row>
      <xdr:rowOff>95396</xdr:rowOff>
    </xdr:to>
    <xdr:grpSp>
      <xdr:nvGrpSpPr>
        <xdr:cNvPr id="154" name="Gruppo 153">
          <a:extLst>
            <a:ext uri="{FF2B5EF4-FFF2-40B4-BE49-F238E27FC236}">
              <a16:creationId xmlns:a16="http://schemas.microsoft.com/office/drawing/2014/main" id="{97003A87-44BF-4E57-A760-19DF355C2169}"/>
            </a:ext>
          </a:extLst>
        </xdr:cNvPr>
        <xdr:cNvGrpSpPr/>
      </xdr:nvGrpSpPr>
      <xdr:grpSpPr>
        <a:xfrm>
          <a:off x="555326" y="12547798"/>
          <a:ext cx="3797599" cy="377773"/>
          <a:chOff x="552970" y="12776398"/>
          <a:chExt cx="3797599" cy="377773"/>
        </a:xfrm>
      </xdr:grpSpPr>
      <xdr:sp macro="" textlink="">
        <xdr:nvSpPr>
          <xdr:cNvPr id="155" name="Passaggio" descr="Usare Excel come calcolatrice, con collegamento ipertestuale al Web&#10;">
            <a:hlinkClick xmlns:r="http://schemas.openxmlformats.org/officeDocument/2006/relationships" r:id="rId11" tooltip="Seleziona per ottenere informazioni dal Web sulle formule di Excel suddivise per categoria"/>
            <a:extLst>
              <a:ext uri="{FF2B5EF4-FFF2-40B4-BE49-F238E27FC236}">
                <a16:creationId xmlns:a16="http://schemas.microsoft.com/office/drawing/2014/main" id="{1B8A91B8-3AD1-4CBF-A83F-989016E1EFCA}"/>
              </a:ext>
            </a:extLst>
          </xdr:cNvPr>
          <xdr:cNvSpPr txBox="1"/>
        </xdr:nvSpPr>
        <xdr:spPr>
          <a:xfrm>
            <a:off x="1002466" y="12860578"/>
            <a:ext cx="334810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Funzioni di Excel (in base alla categoria) </a:t>
            </a:r>
          </a:p>
        </xdr:txBody>
      </xdr:sp>
      <xdr:pic>
        <xdr:nvPicPr>
          <xdr:cNvPr id="156" name="Elemento grafico 155" descr="Seleziona per ottenere altre informazioni dal Web">
            <a:hlinkClick xmlns:r="http://schemas.openxmlformats.org/officeDocument/2006/relationships" r:id="rId11" tooltip="Seleziona per ottenere altre informazioni dal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3924300</xdr:colOff>
      <xdr:row>64</xdr:row>
      <xdr:rowOff>112842</xdr:rowOff>
    </xdr:to>
    <xdr:grpSp>
      <xdr:nvGrpSpPr>
        <xdr:cNvPr id="157" name="Gruppo 156">
          <a:extLst>
            <a:ext uri="{FF2B5EF4-FFF2-40B4-BE49-F238E27FC236}">
              <a16:creationId xmlns:a16="http://schemas.microsoft.com/office/drawing/2014/main" id="{71257630-43F1-4787-B9D3-FAD6BF048228}"/>
            </a:ext>
          </a:extLst>
        </xdr:cNvPr>
        <xdr:cNvGrpSpPr/>
      </xdr:nvGrpSpPr>
      <xdr:grpSpPr>
        <a:xfrm>
          <a:off x="567509" y="12940657"/>
          <a:ext cx="4204516" cy="383360"/>
          <a:chOff x="565153" y="13169257"/>
          <a:chExt cx="4204516" cy="383360"/>
        </a:xfrm>
      </xdr:grpSpPr>
      <xdr:sp macro="" textlink="">
        <xdr:nvSpPr>
          <xdr:cNvPr id="158" name="Passaggio" descr="Formazione gratuita su Excel disponibile online, con collegamento ipertestuale al Web&#10;">
            <a:hlinkClick xmlns:r="http://schemas.openxmlformats.org/officeDocument/2006/relationships" r:id="rId12" tooltip="Seleziona per ottenere informazioni complete dal Web sulle formule di Excel (in ordine alfabetico)"/>
            <a:extLst>
              <a:ext uri="{FF2B5EF4-FFF2-40B4-BE49-F238E27FC236}">
                <a16:creationId xmlns:a16="http://schemas.microsoft.com/office/drawing/2014/main" id="{A1D2C3A9-E7A3-44B5-93E4-99B051F60D72}"/>
              </a:ext>
            </a:extLst>
          </xdr:cNvPr>
          <xdr:cNvSpPr txBox="1"/>
        </xdr:nvSpPr>
        <xdr:spPr>
          <a:xfrm>
            <a:off x="1014649" y="13253084"/>
            <a:ext cx="3755020"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Funzioni di Excel (in ordine alfabetico) </a:t>
            </a:r>
          </a:p>
        </xdr:txBody>
      </xdr:sp>
      <xdr:pic>
        <xdr:nvPicPr>
          <xdr:cNvPr id="159" name="Elemento grafico 22" descr="Seleziona per ottenere altre informazioni dal Web">
            <a:hlinkClick xmlns:r="http://schemas.openxmlformats.org/officeDocument/2006/relationships" r:id="rId12" tooltip="Seleziona per ottenere altre informazioni dal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3476624</xdr:colOff>
      <xdr:row>66</xdr:row>
      <xdr:rowOff>112842</xdr:rowOff>
    </xdr:to>
    <xdr:grpSp>
      <xdr:nvGrpSpPr>
        <xdr:cNvPr id="160" name="Gruppo 159">
          <a:extLst>
            <a:ext uri="{FF2B5EF4-FFF2-40B4-BE49-F238E27FC236}">
              <a16:creationId xmlns:a16="http://schemas.microsoft.com/office/drawing/2014/main" id="{32835AA2-E6D6-41DC-B4E4-AF07FAC19150}"/>
            </a:ext>
          </a:extLst>
        </xdr:cNvPr>
        <xdr:cNvGrpSpPr/>
      </xdr:nvGrpSpPr>
      <xdr:grpSpPr>
        <a:xfrm>
          <a:off x="577034" y="13321657"/>
          <a:ext cx="3747315" cy="383360"/>
          <a:chOff x="574678" y="13550257"/>
          <a:chExt cx="3747315" cy="383360"/>
        </a:xfrm>
      </xdr:grpSpPr>
      <xdr:sp macro="" textlink="">
        <xdr:nvSpPr>
          <xdr:cNvPr id="161" name="Passaggio" descr="Formazione gratuita su Excel disponibile online, con collegamento ipertestuale al Web&#10;">
            <a:hlinkClick xmlns:r="http://schemas.openxmlformats.org/officeDocument/2006/relationships" r:id="rId13" tooltip="Seleziona per ottenere informazioni dal Web sulle risorse di formazione gratuita su Excel disponibili online"/>
            <a:extLst>
              <a:ext uri="{FF2B5EF4-FFF2-40B4-BE49-F238E27FC236}">
                <a16:creationId xmlns:a16="http://schemas.microsoft.com/office/drawing/2014/main" id="{BBD9D617-8BE8-4A77-A4A7-46711DF153C7}"/>
              </a:ext>
            </a:extLst>
          </xdr:cNvPr>
          <xdr:cNvSpPr txBox="1"/>
        </xdr:nvSpPr>
        <xdr:spPr>
          <a:xfrm>
            <a:off x="1024174" y="13634084"/>
            <a:ext cx="3297819"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62" name="Elemento grafico 22" descr="Seleziona per ottenere altre informazioni dal Web">
            <a:hlinkClick xmlns:r="http://schemas.openxmlformats.org/officeDocument/2006/relationships" r:id="rId13" tooltip="Seleziona per ottenere altre informazioni dal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5262563</xdr:colOff>
      <xdr:row>4</xdr:row>
      <xdr:rowOff>6808</xdr:rowOff>
    </xdr:from>
    <xdr:to>
      <xdr:col>4</xdr:col>
      <xdr:colOff>868402</xdr:colOff>
      <xdr:row>14</xdr:row>
      <xdr:rowOff>85724</xdr:rowOff>
    </xdr:to>
    <xdr:grpSp>
      <xdr:nvGrpSpPr>
        <xdr:cNvPr id="163" name="Gruppo 162">
          <a:extLst>
            <a:ext uri="{FF2B5EF4-FFF2-40B4-BE49-F238E27FC236}">
              <a16:creationId xmlns:a16="http://schemas.microsoft.com/office/drawing/2014/main" id="{C2C01485-52DA-46D7-91BA-2CB22C9C592D}"/>
            </a:ext>
          </a:extLst>
        </xdr:cNvPr>
        <xdr:cNvGrpSpPr/>
      </xdr:nvGrpSpPr>
      <xdr:grpSpPr>
        <a:xfrm>
          <a:off x="6110288" y="1387933"/>
          <a:ext cx="2368589" cy="2012491"/>
          <a:chOff x="6284692" y="1189724"/>
          <a:chExt cx="2351528" cy="1977438"/>
        </a:xfrm>
      </xdr:grpSpPr>
      <xdr:grpSp>
        <xdr:nvGrpSpPr>
          <xdr:cNvPr id="164" name="Linee parentesi quadre">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ltra linea parentesi quadra" descr="Linea parentesi quadra">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8" name="Linea parentesi quadra" descr="Linea parentesi quadra&#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65" name="Stelle" descr="Stelle">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284692" y="1993317"/>
            <a:ext cx="323250" cy="337815"/>
          </a:xfrm>
          <a:prstGeom prst="rect">
            <a:avLst/>
          </a:prstGeom>
        </xdr:spPr>
      </xdr:pic>
      <xdr:sp macro="" textlink="">
        <xdr:nvSpPr>
          <xdr:cNvPr id="166" name="Istruzioni"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3"/>
            <a:ext cx="1969112" cy="127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rtl="0"/>
            <a:r>
              <a:rPr lang="it" sz="1100" kern="1200">
                <a:solidFill>
                  <a:schemeClr val="dk1"/>
                </a:solidFill>
                <a:effectLst/>
                <a:latin typeface="+mn-lt"/>
                <a:ea typeface="+mn-ea"/>
                <a:cs typeface="+mn-cs"/>
              </a:rPr>
              <a:t>Cambia</a:t>
            </a:r>
            <a:r>
              <a:rPr lang="it" sz="1100" kern="1200" baseline="0">
                <a:solidFill>
                  <a:schemeClr val="dk1"/>
                </a:solidFill>
                <a:effectLst/>
                <a:latin typeface="+mn-lt"/>
                <a:ea typeface="+mn-ea"/>
                <a:cs typeface="+mn-cs"/>
              </a:rPr>
              <a:t> i numeri qui e osserva come i risultati delle formule cambiano automaticamente.</a:t>
            </a:r>
            <a:endParaRPr lang="en-US" sz="1100">
              <a:effectLst/>
            </a:endParaRPr>
          </a:p>
        </xdr:txBody>
      </xdr:sp>
    </xdr:grpSp>
    <xdr:clientData/>
  </xdr:twoCellAnchor>
  <xdr:twoCellAnchor editAs="absolute">
    <xdr:from>
      <xdr:col>6</xdr:col>
      <xdr:colOff>395007</xdr:colOff>
      <xdr:row>25</xdr:row>
      <xdr:rowOff>129774</xdr:rowOff>
    </xdr:from>
    <xdr:to>
      <xdr:col>13</xdr:col>
      <xdr:colOff>295276</xdr:colOff>
      <xdr:row>37</xdr:row>
      <xdr:rowOff>161925</xdr:rowOff>
    </xdr:to>
    <xdr:grpSp>
      <xdr:nvGrpSpPr>
        <xdr:cNvPr id="170" name="INFORMAZIONI UTILI" descr="INFORMAZIONI UTILI&#10;&#10;">
          <a:extLst>
            <a:ext uri="{FF2B5EF4-FFF2-40B4-BE49-F238E27FC236}">
              <a16:creationId xmlns:a16="http://schemas.microsoft.com/office/drawing/2014/main" id="{C43C872B-4996-44B6-9821-46907E2D5805}"/>
            </a:ext>
          </a:extLst>
        </xdr:cNvPr>
        <xdr:cNvGrpSpPr/>
      </xdr:nvGrpSpPr>
      <xdr:grpSpPr>
        <a:xfrm>
          <a:off x="10253382" y="5768574"/>
          <a:ext cx="4443694" cy="2461026"/>
          <a:chOff x="7053810" y="15226304"/>
          <a:chExt cx="4399348" cy="2125702"/>
        </a:xfrm>
      </xdr:grpSpPr>
      <xdr:sp macro="" textlink="">
        <xdr:nvSpPr>
          <xdr:cNvPr id="212" name="Passaggio"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1" y="15262899"/>
            <a:ext cx="4076047" cy="2089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Le costanti sono i valori che vengono immessi nelle celle o nelle formule. Anche se =10+20 può produrre lo stesso risultato di =A1+B1, è buona norma evitare le costanti. Perché? Poiché per vedere una costante può essere necessario selezionare la cella e cercarla. Di conseguenza può risultare difficile da cambiare in un secondo momento. È molto più semplice inserire le costanti nelle celle, dove possono essere modificate facilmente e aggiunte alle formule mediante riferimento.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t" sz="1100" b="0" i="0" kern="1200" baseline="0">
                <a:solidFill>
                  <a:schemeClr val="dk1"/>
                </a:solidFill>
                <a:effectLst/>
                <a:latin typeface="+mn-lt"/>
                <a:ea typeface="+mn-ea"/>
                <a:cs typeface="+mn-cs"/>
              </a:rPr>
              <a:t>Ad esempio: seleziona la cella gialla con il numero </a:t>
            </a:r>
            <a:r>
              <a:rPr lang="it" sz="1100" b="1" i="0" kern="1200" baseline="0">
                <a:solidFill>
                  <a:schemeClr val="dk1"/>
                </a:solidFill>
                <a:effectLst/>
                <a:latin typeface="+mn-lt"/>
                <a:ea typeface="+mn-ea"/>
                <a:cs typeface="+mn-cs"/>
              </a:rPr>
              <a:t>12</a:t>
            </a:r>
            <a:r>
              <a:rPr lang="it" sz="1100" b="0" i="0" kern="1200" baseline="0">
                <a:solidFill>
                  <a:schemeClr val="dk1"/>
                </a:solidFill>
                <a:effectLst/>
                <a:latin typeface="+mn-lt"/>
                <a:ea typeface="+mn-ea"/>
                <a:cs typeface="+mn-cs"/>
              </a:rPr>
              <a:t> qui sotto. Come vedi, abbiamo usato la funzione </a:t>
            </a:r>
            <a:r>
              <a:rPr lang="it" sz="1100" b="1" i="0" kern="1200" baseline="0">
                <a:solidFill>
                  <a:schemeClr val="dk1"/>
                </a:solidFill>
                <a:effectLst/>
                <a:latin typeface="+mn-lt"/>
                <a:ea typeface="+mn-ea"/>
                <a:cs typeface="+mn-cs"/>
              </a:rPr>
              <a:t>SOMMA</a:t>
            </a:r>
            <a:r>
              <a:rPr lang="it" sz="1100" b="0" i="0" kern="1200" baseline="0">
                <a:solidFill>
                  <a:schemeClr val="dk1"/>
                </a:solidFill>
                <a:effectLst/>
                <a:latin typeface="+mn-lt"/>
                <a:ea typeface="+mn-ea"/>
                <a:cs typeface="+mn-cs"/>
              </a:rPr>
              <a:t> con un intervallo di celle. Non abbiamo digitato "4" o "8" direttamente nella formula. </a:t>
            </a:r>
          </a:p>
        </xdr:txBody>
      </xdr:sp>
      <xdr:pic>
        <xdr:nvPicPr>
          <xdr:cNvPr id="213" name="Elemento grafico 147" descr="Occhiali">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053810" y="15226304"/>
            <a:ext cx="323347" cy="349115"/>
          </a:xfrm>
          <a:prstGeom prst="rect">
            <a:avLst/>
          </a:prstGeom>
        </xdr:spPr>
      </xdr:pic>
    </xdr:grpSp>
    <xdr:clientData/>
  </xdr:twoCellAnchor>
  <xdr:twoCellAnchor editAs="oneCell">
    <xdr:from>
      <xdr:col>1</xdr:col>
      <xdr:colOff>5372100</xdr:colOff>
      <xdr:row>34</xdr:row>
      <xdr:rowOff>153691</xdr:rowOff>
    </xdr:from>
    <xdr:to>
      <xdr:col>6</xdr:col>
      <xdr:colOff>609069</xdr:colOff>
      <xdr:row>45</xdr:row>
      <xdr:rowOff>48667</xdr:rowOff>
    </xdr:to>
    <xdr:pic>
      <xdr:nvPicPr>
        <xdr:cNvPr id="4" name="Immagine 3" descr="Un intervallo di celle è composto da una cella iniziale, due punti (:) e una cella finale. Quando si seleziona un intervallo di celle per una formula, i due punti (:) vengono aggiunti automaticamente. Ad esempio, A1:A10 è l'intervallo di celle dalla cella A1 alla cella A10.">
          <a:extLst>
            <a:ext uri="{FF2B5EF4-FFF2-40B4-BE49-F238E27FC236}">
              <a16:creationId xmlns:a16="http://schemas.microsoft.com/office/drawing/2014/main" id="{A10B1741-C031-4CCA-8649-E13E092B5165}"/>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6219825" y="7649866"/>
          <a:ext cx="4247619" cy="1990476"/>
        </a:xfrm>
        <a:prstGeom prst="rect">
          <a:avLst/>
        </a:prstGeom>
      </xdr:spPr>
    </xdr:pic>
    <xdr:clientData/>
  </xdr:twoCellAnchor>
  <xdr:twoCellAnchor editAs="oneCell">
    <xdr:from>
      <xdr:col>1</xdr:col>
      <xdr:colOff>5400675</xdr:colOff>
      <xdr:row>45</xdr:row>
      <xdr:rowOff>152734</xdr:rowOff>
    </xdr:from>
    <xdr:to>
      <xdr:col>11</xdr:col>
      <xdr:colOff>389609</xdr:colOff>
      <xdr:row>58</xdr:row>
      <xdr:rowOff>47663</xdr:rowOff>
    </xdr:to>
    <xdr:pic>
      <xdr:nvPicPr>
        <xdr:cNvPr id="5" name="Immagine 4" descr="Quando si usano le funzioni in Excel, si inizia con il nome della funzione, come =SOMMA, seguito da una parentesi aperta. Poi si aggiungono gli argomenti o gli intervalli della funzione. Puoi separare più argomenti o intervalli con le virgole. In questo esempio vengono sommati due intervalli con =SOMMA(A1:A10;C1:C10).">
          <a:extLst>
            <a:ext uri="{FF2B5EF4-FFF2-40B4-BE49-F238E27FC236}">
              <a16:creationId xmlns:a16="http://schemas.microsoft.com/office/drawing/2014/main" id="{9CE19FB0-7F40-4845-93C2-4653431C867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6248400" y="9744409"/>
          <a:ext cx="7323809" cy="23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65</xdr:row>
      <xdr:rowOff>171450</xdr:rowOff>
    </xdr:from>
    <xdr:to>
      <xdr:col>1</xdr:col>
      <xdr:colOff>5228463</xdr:colOff>
      <xdr:row>84</xdr:row>
      <xdr:rowOff>47625</xdr:rowOff>
    </xdr:to>
    <xdr:grpSp>
      <xdr:nvGrpSpPr>
        <xdr:cNvPr id="180" name="Altre risorse sul Web" descr="More information on the web, contains links to the web&#10;Back to top&#10;Next step">
          <a:hlinkClick xmlns:r="http://schemas.openxmlformats.org/officeDocument/2006/relationships" r:id="rId1" tooltip="Fai clic qui per passare al foglio di lavoro successivo"/>
          <a:extLst>
            <a:ext uri="{FF2B5EF4-FFF2-40B4-BE49-F238E27FC236}">
              <a16:creationId xmlns:a16="http://schemas.microsoft.com/office/drawing/2014/main" id="{ABD21ECB-A0A3-4E0D-861E-B3FBCE376575}"/>
            </a:ext>
          </a:extLst>
        </xdr:cNvPr>
        <xdr:cNvGrpSpPr/>
      </xdr:nvGrpSpPr>
      <xdr:grpSpPr>
        <a:xfrm>
          <a:off x="342900" y="13125450"/>
          <a:ext cx="5733288" cy="3495675"/>
          <a:chOff x="323850" y="16837043"/>
          <a:chExt cx="5737224" cy="3349188"/>
        </a:xfrm>
      </xdr:grpSpPr>
      <xdr:sp macro="" textlink="">
        <xdr:nvSpPr>
          <xdr:cNvPr id="181" name="Rettangolo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Passaggio" descr="Altre informazioni sul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Connettore diritto 182" descr="Linea decorativa">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Pulsante Successivo" descr="Torna all'inizio, con collegamento ipertestuale alla cella A1">
            <a:hlinkClick xmlns:r="http://schemas.openxmlformats.org/officeDocument/2006/relationships" r:id="rId1" tooltip="Seleziona per tornare alla cella A1 in questo foglio di lavoro"/>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85" name="Connettore diritto 184" descr="Linea decorativa">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Pulsante Successivo" descr="Pulsante Passaggio successivo, con un collegamento ipertestuale al foglio di lavoro successivo">
            <a:hlinkClick xmlns:r="http://schemas.openxmlformats.org/officeDocument/2006/relationships" r:id="rId2" tooltip="Fai clic qui per passare al foglio di lavoro successivo"/>
            <a:extLst>
              <a:ext uri="{FF2B5EF4-FFF2-40B4-BE49-F238E27FC236}">
                <a16:creationId xmlns:a16="http://schemas.microsoft.com/office/drawing/2014/main" id="{4F102BCA-DDCB-4390-A653-445B336B333A}"/>
              </a:ext>
            </a:extLst>
          </xdr:cNvPr>
          <xdr:cNvSpPr/>
        </xdr:nvSpPr>
        <xdr:spPr>
          <a:xfrm>
            <a:off x="3926772" y="19669174"/>
            <a:ext cx="1886653" cy="342142"/>
          </a:xfrm>
          <a:prstGeom prst="rightArrowCallout">
            <a:avLst>
              <a:gd name="adj1" fmla="val 32829"/>
              <a:gd name="adj2" fmla="val 31524"/>
              <a:gd name="adj3" fmla="val 25000"/>
              <a:gd name="adj4" fmla="val 90399"/>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87" name="Passaggio" descr="Informazioni complete sulla funzione SOMMA, con collegamento ipertestuale al Web&#10;&#10;">
            <a:hlinkClick xmlns:r="http://schemas.openxmlformats.org/officeDocument/2006/relationships" r:id="rId3" tooltip="Seleziona per ottenere informazioni complete dal Web sulla funzione SOMMA"/>
            <a:extLst>
              <a:ext uri="{FF2B5EF4-FFF2-40B4-BE49-F238E27FC236}">
                <a16:creationId xmlns:a16="http://schemas.microsoft.com/office/drawing/2014/main" id="{AB2D976E-4F84-41AE-9EC8-DB5589E60A01}"/>
              </a:ext>
            </a:extLst>
          </xdr:cNvPr>
          <xdr:cNvSpPr txBox="1"/>
        </xdr:nvSpPr>
        <xdr:spPr>
          <a:xfrm>
            <a:off x="1003908" y="17606489"/>
            <a:ext cx="3590072"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88" name="Elemento grafico 22" descr="Freccia">
            <a:hlinkClick xmlns:r="http://schemas.openxmlformats.org/officeDocument/2006/relationships" r:id="rId3" tooltip="Seleziona per ottenere altre informazioni dal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Passaggio" descr="Informazioni complete sull'uso di Somma automatica per sommare numeri, con collegamento ipertestuale al Web&#10;">
            <a:hlinkClick xmlns:r="http://schemas.openxmlformats.org/officeDocument/2006/relationships" r:id="rId6" tooltip="Seleziona per ottenere informazioni complete dal Web sull'uso di Somma automatica per sommare numeri"/>
            <a:extLst>
              <a:ext uri="{FF2B5EF4-FFF2-40B4-BE49-F238E27FC236}">
                <a16:creationId xmlns:a16="http://schemas.microsoft.com/office/drawing/2014/main" id="{E8AF0476-BB01-4EAA-81FC-EFE0808FE13E}"/>
              </a:ext>
            </a:extLst>
          </xdr:cNvPr>
          <xdr:cNvSpPr txBox="1"/>
        </xdr:nvSpPr>
        <xdr:spPr>
          <a:xfrm>
            <a:off x="1003908" y="18058397"/>
            <a:ext cx="3971334"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Usare Somma automatica </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 sommare numeri</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Elemento grafico 22" descr="Freccia">
            <a:hlinkClick xmlns:r="http://schemas.openxmlformats.org/officeDocument/2006/relationships" r:id="rId6" tooltip="Seleziona per ottenere altre informazioni dal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Passaggio" descr="Informazioni complete sulla funzione CONTA.NUMERI, con collegamento ipertestuale al Web&#10;">
            <a:hlinkClick xmlns:r="http://schemas.openxmlformats.org/officeDocument/2006/relationships" r:id="rId7" tooltip="Seleziona per ottenere informazioni complete dal Web sulla funzione CONTA.NUMERI"/>
            <a:extLst>
              <a:ext uri="{FF2B5EF4-FFF2-40B4-BE49-F238E27FC236}">
                <a16:creationId xmlns:a16="http://schemas.microsoft.com/office/drawing/2014/main" id="{9FF9A895-01D5-42A2-8C16-126975374E45}"/>
              </a:ext>
            </a:extLst>
          </xdr:cNvPr>
          <xdr:cNvSpPr txBox="1"/>
        </xdr:nvSpPr>
        <xdr:spPr>
          <a:xfrm>
            <a:off x="1003908" y="18506516"/>
            <a:ext cx="367585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CONTA.NUMERI</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92" name="Elemento grafico 22" descr="Freccia">
            <a:hlinkClick xmlns:r="http://schemas.openxmlformats.org/officeDocument/2006/relationships" r:id="rId7" tooltip="Seleziona per ottenere altre informazioni dal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Passaggio" descr="Formazione gratuita su Excel disponibile online, con collegamento ipertestuale al Web&#10;">
            <a:hlinkClick xmlns:r="http://schemas.openxmlformats.org/officeDocument/2006/relationships" r:id="rId8" tooltip="Seleziona per ottenere informazioni sulle risorse di formazione gratuita su Excel sul Web"/>
            <a:extLst>
              <a:ext uri="{FF2B5EF4-FFF2-40B4-BE49-F238E27FC236}">
                <a16:creationId xmlns:a16="http://schemas.microsoft.com/office/drawing/2014/main" id="{62BCA8C0-A9F1-4706-AAE7-F42F5ABFF970}"/>
              </a:ext>
            </a:extLst>
          </xdr:cNvPr>
          <xdr:cNvSpPr txBox="1"/>
        </xdr:nvSpPr>
        <xdr:spPr>
          <a:xfrm>
            <a:off x="1016607" y="18952686"/>
            <a:ext cx="367268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94"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6344</xdr:rowOff>
    </xdr:from>
    <xdr:to>
      <xdr:col>6</xdr:col>
      <xdr:colOff>590549</xdr:colOff>
      <xdr:row>61</xdr:row>
      <xdr:rowOff>57146</xdr:rowOff>
    </xdr:to>
    <xdr:grpSp>
      <xdr:nvGrpSpPr>
        <xdr:cNvPr id="195" name="DETTAGLIO IMPORTANTE"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448425" y="10293344"/>
          <a:ext cx="3562349" cy="1955802"/>
          <a:chOff x="6788150" y="10960177"/>
          <a:chExt cx="3714749" cy="1889001"/>
        </a:xfrm>
      </xdr:grpSpPr>
      <xdr:sp macro="" textlink="">
        <xdr:nvSpPr>
          <xdr:cNvPr id="196" name="Istruzione"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2"/>
            <a:ext cx="3429000" cy="148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Fai doppio clic in questa cella. Noterai il valore </a:t>
            </a:r>
            <a:r>
              <a:rPr lang="it" sz="1100" b="0" i="1" kern="1200" baseline="0">
                <a:solidFill>
                  <a:schemeClr val="dk1"/>
                </a:solidFill>
                <a:effectLst/>
                <a:latin typeface="+mn-lt"/>
                <a:ea typeface="+mn-ea"/>
                <a:cs typeface="+mn-cs"/>
              </a:rPr>
              <a:t>100</a:t>
            </a:r>
            <a:r>
              <a:rPr lang="it" sz="1100" b="0" i="0" kern="1200" baseline="0">
                <a:solidFill>
                  <a:schemeClr val="dk1"/>
                </a:solidFill>
                <a:effectLst/>
                <a:latin typeface="+mn-lt"/>
                <a:ea typeface="+mn-ea"/>
                <a:cs typeface="+mn-cs"/>
              </a:rPr>
              <a:t> verso la fine. Anche se è possibile inserire numeri in una formula come questa, non è consigliabile farlo a meno che non sia assolutamente necessario. Si tratta di un valore </a:t>
            </a:r>
            <a:r>
              <a:rPr lang="it" sz="1100" b="1" i="0" kern="1200" baseline="0">
                <a:solidFill>
                  <a:schemeClr val="dk1"/>
                </a:solidFill>
                <a:effectLst/>
                <a:latin typeface="+mn-lt"/>
                <a:ea typeface="+mn-ea"/>
                <a:cs typeface="+mn-cs"/>
              </a:rPr>
              <a:t>costante</a:t>
            </a:r>
            <a:r>
              <a:rPr lang="it" sz="1100" b="0" i="0" kern="1200" baseline="0">
                <a:solidFill>
                  <a:schemeClr val="dk1"/>
                </a:solidFill>
                <a:effectLst/>
                <a:latin typeface="+mn-lt"/>
                <a:ea typeface="+mn-ea"/>
                <a:cs typeface="+mn-cs"/>
              </a:rPr>
              <a:t> ed è facile dimenticarsi della sua presenza. È preferibile fare riferimento a un'altra cella, come la cella F51. In questo modo sarà più visibile e non nascosto all'interno di una formula. </a:t>
            </a:r>
            <a:endParaRPr lang="en-US" sz="1100">
              <a:effectLst/>
            </a:endParaRPr>
          </a:p>
        </xdr:txBody>
      </xdr:sp>
      <xdr:pic>
        <xdr:nvPicPr>
          <xdr:cNvPr id="197" name="Lente di ingrandimento" descr="Lente di ingrandimento">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Freccia" descr="Freccia">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4</xdr:col>
      <xdr:colOff>7420</xdr:colOff>
      <xdr:row>33</xdr:row>
      <xdr:rowOff>120650</xdr:rowOff>
    </xdr:from>
    <xdr:to>
      <xdr:col>8</xdr:col>
      <xdr:colOff>523874</xdr:colOff>
      <xdr:row>42</xdr:row>
      <xdr:rowOff>114300</xdr:rowOff>
    </xdr:to>
    <xdr:grpSp>
      <xdr:nvGrpSpPr>
        <xdr:cNvPr id="2" name="Gruppo 1">
          <a:extLst>
            <a:ext uri="{FF2B5EF4-FFF2-40B4-BE49-F238E27FC236}">
              <a16:creationId xmlns:a16="http://schemas.microsoft.com/office/drawing/2014/main" id="{C31E7FA9-873B-48E5-80FF-FEEB66A44E83}"/>
            </a:ext>
          </a:extLst>
        </xdr:cNvPr>
        <xdr:cNvGrpSpPr/>
      </xdr:nvGrpSpPr>
      <xdr:grpSpPr>
        <a:xfrm>
          <a:off x="8151295" y="6978650"/>
          <a:ext cx="3269179" cy="1708150"/>
          <a:chOff x="8151295" y="6978650"/>
          <a:chExt cx="3212029" cy="1708150"/>
        </a:xfrm>
      </xdr:grpSpPr>
      <xdr:pic>
        <xdr:nvPicPr>
          <xdr:cNvPr id="200" name="Grafica barra di stato" descr="Grafica barra di stato Somma: 170">
            <a:extLst>
              <a:ext uri="{FF2B5EF4-FFF2-40B4-BE49-F238E27FC236}">
                <a16:creationId xmlns:a16="http://schemas.microsoft.com/office/drawing/2014/main" id="{26CBE60B-8C6B-4B6C-A49E-B12121A259C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8888043" y="7642325"/>
            <a:ext cx="1132236" cy="200000"/>
          </a:xfrm>
          <a:prstGeom prst="rect">
            <a:avLst/>
          </a:prstGeom>
        </xdr:spPr>
      </xdr:pic>
      <xdr:grpSp>
        <xdr:nvGrpSpPr>
          <xdr:cNvPr id="201" name="GUARDA QUI"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708150"/>
            <a:chOff x="7539454" y="7993902"/>
            <a:chExt cx="3051070" cy="1708150"/>
          </a:xfrm>
        </xdr:grpSpPr>
        <xdr:grpSp>
          <xdr:nvGrpSpPr>
            <xdr:cNvPr id="202" name="Linee parentesi quadre">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ltra linea parentesi quadra" descr="Linea parentesi quadra">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6" name="Linea parentesi quadra" descr="Linea parentesi quadra&#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203" name="Stelle" descr="Stelle">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struzioni"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7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Seleziona queste celle. Nell'angolo in basso a destra della </a:t>
              </a:r>
              <a:r>
                <a:rPr lang="it" sz="1100" kern="0" baseline="0">
                  <a:solidFill>
                    <a:schemeClr val="bg2">
                      <a:lumMod val="25000"/>
                    </a:schemeClr>
                  </a:solidFill>
                  <a:latin typeface="+mn-lt"/>
                  <a:ea typeface="Segoe UI" pitchFamily="34" charset="0"/>
                  <a:cs typeface="Segoe UI Light" panose="020B0502040204020203" pitchFamily="34" charset="0"/>
                </a:rPr>
                <a:t>finestra di Excel troverai:</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it" sz="1100" kern="0" baseline="0">
                  <a:solidFill>
                    <a:schemeClr val="bg2">
                      <a:lumMod val="25000"/>
                    </a:schemeClr>
                  </a:solidFill>
                  <a:latin typeface="+mn-lt"/>
                  <a:ea typeface="Segoe UI" pitchFamily="34" charset="0"/>
                  <a:cs typeface="Segoe UI Light" panose="020B0502040204020203" pitchFamily="34" charset="0"/>
                </a:rPr>
                <a:t>Si chiama Barra di stato e rappresenta semplicemente un altro modo per trovare rapidamente un totale e altri dettagli su una cella o un intervallo.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800099</xdr:colOff>
      <xdr:row>15</xdr:row>
      <xdr:rowOff>28576</xdr:rowOff>
    </xdr:from>
    <xdr:to>
      <xdr:col>9</xdr:col>
      <xdr:colOff>323848</xdr:colOff>
      <xdr:row>22</xdr:row>
      <xdr:rowOff>171450</xdr:rowOff>
    </xdr:to>
    <xdr:grpSp>
      <xdr:nvGrpSpPr>
        <xdr:cNvPr id="207" name="Gruppo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096374" y="3457576"/>
          <a:ext cx="2714624" cy="1476374"/>
          <a:chOff x="9048750" y="3743325"/>
          <a:chExt cx="2839722" cy="1476374"/>
        </a:xfrm>
      </xdr:grpSpPr>
      <xdr:sp macro="" textlink="">
        <xdr:nvSpPr>
          <xdr:cNvPr id="208" name="Passaggio"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31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panose="020B0502040204020203" pitchFamily="34" charset="0"/>
              </a:rPr>
              <a:t>CREDITO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Prova a usare la funzione </a:t>
            </a:r>
            <a:r>
              <a:rPr lang="it" sz="1100" b="1" i="0" kern="1200" baseline="0">
                <a:solidFill>
                  <a:schemeClr val="dk1"/>
                </a:solidFill>
                <a:effectLst/>
                <a:latin typeface="+mn-lt"/>
                <a:ea typeface="+mn-ea"/>
                <a:cs typeface="+mn-cs"/>
              </a:rPr>
              <a:t>CONTA.NUMERI</a:t>
            </a:r>
            <a:r>
              <a:rPr lang="it" sz="1100" b="0" i="0" kern="1200" baseline="0">
                <a:solidFill>
                  <a:schemeClr val="dk1"/>
                </a:solidFill>
                <a:effectLst/>
                <a:latin typeface="+mn-lt"/>
                <a:ea typeface="+mn-ea"/>
                <a:cs typeface="+mn-cs"/>
              </a:rPr>
              <a:t> con uno dei metodi già sperimentati. La funzione </a:t>
            </a:r>
            <a:r>
              <a:rPr lang="it" sz="1100" b="1" i="0" kern="1200" baseline="0">
                <a:solidFill>
                  <a:schemeClr val="dk1"/>
                </a:solidFill>
                <a:effectLst/>
                <a:latin typeface="+mn-lt"/>
                <a:ea typeface="+mn-ea"/>
                <a:cs typeface="+mn-cs"/>
              </a:rPr>
              <a:t>CONTA.NUMERI</a:t>
            </a:r>
            <a:r>
              <a:rPr lang="it" sz="1100" b="0" i="0" kern="1200" baseline="0">
                <a:solidFill>
                  <a:schemeClr val="dk1"/>
                </a:solidFill>
                <a:effectLst/>
                <a:latin typeface="+mn-lt"/>
                <a:ea typeface="+mn-ea"/>
                <a:cs typeface="+mn-cs"/>
              </a:rPr>
              <a:t> conta il numero di celle che contengono numeri all'interno di un intervallo.</a:t>
            </a:r>
          </a:p>
        </xdr:txBody>
      </xdr:sp>
      <xdr:pic>
        <xdr:nvPicPr>
          <xdr:cNvPr id="209" name="Barra multifunzione Credito extra" descr="Nastro decorativo">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Freccia Credito extra" descr="Freccia">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355809</xdr:colOff>
      <xdr:row>25</xdr:row>
      <xdr:rowOff>38100</xdr:rowOff>
    </xdr:from>
    <xdr:to>
      <xdr:col>1</xdr:col>
      <xdr:colOff>5241372</xdr:colOff>
      <xdr:row>65</xdr:row>
      <xdr:rowOff>95250</xdr:rowOff>
    </xdr:to>
    <xdr:grpSp>
      <xdr:nvGrpSpPr>
        <xdr:cNvPr id="4" name="Gruppo 3">
          <a:extLst>
            <a:ext uri="{FF2B5EF4-FFF2-40B4-BE49-F238E27FC236}">
              <a16:creationId xmlns:a16="http://schemas.microsoft.com/office/drawing/2014/main" id="{F60B4319-44A9-469F-A62C-1D9E3BD387BB}"/>
            </a:ext>
          </a:extLst>
        </xdr:cNvPr>
        <xdr:cNvGrpSpPr/>
      </xdr:nvGrpSpPr>
      <xdr:grpSpPr>
        <a:xfrm>
          <a:off x="355809" y="5372100"/>
          <a:ext cx="5733288" cy="7677150"/>
          <a:chOff x="355809" y="4962524"/>
          <a:chExt cx="5733288" cy="7677151"/>
        </a:xfrm>
      </xdr:grpSpPr>
      <xdr:sp macro="" textlink="">
        <xdr:nvSpPr>
          <xdr:cNvPr id="227" name="Rettangolo 226" descr="Sfondo">
            <a:extLst>
              <a:ext uri="{FF2B5EF4-FFF2-40B4-BE49-F238E27FC236}">
                <a16:creationId xmlns:a16="http://schemas.microsoft.com/office/drawing/2014/main" id="{FE05A65F-6F64-4D5F-8F2C-C74D8B5B4B8A}"/>
              </a:ext>
            </a:extLst>
          </xdr:cNvPr>
          <xdr:cNvSpPr/>
        </xdr:nvSpPr>
        <xdr:spPr>
          <a:xfrm>
            <a:off x="355809" y="4962524"/>
            <a:ext cx="5733288" cy="767715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28" name="Connettore diritto 227" descr="Linea decorativa">
            <a:extLst>
              <a:ext uri="{FF2B5EF4-FFF2-40B4-BE49-F238E27FC236}">
                <a16:creationId xmlns:a16="http://schemas.microsoft.com/office/drawing/2014/main" id="{E01E9DE0-78BF-4EAC-AF4D-2F1BE5EF054F}"/>
              </a:ext>
            </a:extLst>
          </xdr:cNvPr>
          <xdr:cNvCxnSpPr>
            <a:cxnSpLocks/>
          </xdr:cNvCxnSpPr>
        </xdr:nvCxnSpPr>
        <xdr:spPr>
          <a:xfrm>
            <a:off x="549298" y="57325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Connettore diritto 228" descr="Linea decorativa">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Passaggio" descr="Altre informazioni sulle funzioni&#10;">
            <a:extLst>
              <a:ext uri="{FF2B5EF4-FFF2-40B4-BE49-F238E27FC236}">
                <a16:creationId xmlns:a16="http://schemas.microsoft.com/office/drawing/2014/main" id="{07DB6895-0278-4CEA-ABE6-CD6248F44EB5}"/>
              </a:ext>
            </a:extLst>
          </xdr:cNvPr>
          <xdr:cNvSpPr txBox="1"/>
        </xdr:nvSpPr>
        <xdr:spPr>
          <a:xfrm>
            <a:off x="549298" y="5135747"/>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sulle funzioni</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Passaggio"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845505"/>
            <a:ext cx="5217462" cy="280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spc="-3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Passa </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alla scheda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Formule</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scorri la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Libreria di funzioni</a:t>
            </a:r>
            <a:r>
              <a:rPr lang="it" sz="1100" b="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it" sz="1100" kern="1200" spc="-30" baseline="0">
                <a:solidFill>
                  <a:schemeClr val="tx1">
                    <a:lumMod val="75000"/>
                    <a:lumOff val="25000"/>
                  </a:schemeClr>
                </a:solidFill>
                <a:effectLst/>
                <a:latin typeface="Segoe UI" panose="020B0502040204020203" pitchFamily="34" charset="0"/>
                <a:ea typeface="+mn-ea"/>
                <a:cs typeface="Segoe UI" panose="020B0502040204020203" pitchFamily="34" charset="0"/>
              </a:rPr>
              <a:t>in cui le funzioni sono elencate per categoria, ad esempio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Testo</a:t>
            </a:r>
            <a:r>
              <a:rPr lang="it" sz="1100" kern="1200" spc="-3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it" sz="1100" b="1" kern="1200" spc="-30" baseline="0">
                <a:solidFill>
                  <a:schemeClr val="tx1">
                    <a:lumMod val="75000"/>
                    <a:lumOff val="25000"/>
                  </a:schemeClr>
                </a:solidFill>
                <a:effectLst/>
                <a:latin typeface="Segoe UI" panose="020B0502040204020203" pitchFamily="34" charset="0"/>
                <a:ea typeface="+mn-ea"/>
                <a:cs typeface="Segoe UI" panose="020B0502040204020203" pitchFamily="34" charset="0"/>
              </a:rPr>
              <a:t>Data e ora</a:t>
            </a:r>
            <a:r>
              <a:rPr lang="it" sz="1100" kern="1200" spc="-30" baseline="0">
                <a:solidFill>
                  <a:schemeClr val="tx1">
                    <a:lumMod val="75000"/>
                    <a:lumOff val="25000"/>
                  </a:schemeClr>
                </a:solidFill>
                <a:effectLst/>
                <a:latin typeface="Segoe UI" panose="020B0502040204020203" pitchFamily="34" charset="0"/>
                <a:ea typeface="+mn-ea"/>
                <a:cs typeface="Segoe UI" panose="020B0502040204020203" pitchFamily="34" charset="0"/>
              </a:rPr>
              <a:t> e così via.</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b="1" kern="1200" spc="-30" baseline="0">
                <a:solidFill>
                  <a:schemeClr val="tx1">
                    <a:lumMod val="75000"/>
                    <a:lumOff val="25000"/>
                  </a:schemeClr>
                </a:solidFill>
                <a:effectLst/>
                <a:latin typeface="Segoe UI" panose="020B0502040204020203" pitchFamily="34" charset="0"/>
                <a:ea typeface="+mn-ea"/>
                <a:cs typeface="Segoe UI" panose="020B0502040204020203" pitchFamily="34" charset="0"/>
              </a:rPr>
              <a:t>Inserisci funzione</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consente di cercare le funzioni per nome e avviare una procedura guidata per creare la formula. </a:t>
            </a:r>
          </a:p>
          <a:p>
            <a:pPr lvl="0" rtl="0">
              <a:defRPr/>
            </a:pPr>
            <a:endParaRPr lang="en-US"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inizi a digitare il nome di una funzione dopo aver premuto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it" sz="1100" b="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avvia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che elenca tutte le funzioni che iniziano con le lettere digitate. Quando trovi quella desiderata, premi TAB. Excel completa automaticamente il nome della funzione e inserisce la parentesi di apertura. Mostra anche gli argomenti facoltativi e obbligatori. </a:t>
            </a:r>
          </a:p>
          <a:p>
            <a:pPr lvl="0" rtl="0">
              <a:defRPr/>
            </a:pPr>
            <a:endParaRPr lang="en-US"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br>
              <a:rPr lang="en-US"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Esaminiamo in dettaglio alcune funzioni. La funzione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è strutturata in questo modo:</a:t>
            </a:r>
            <a:endParaRPr lang="en-US" sz="1100" kern="0" spc="-3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1159608</xdr:colOff>
      <xdr:row>38</xdr:row>
      <xdr:rowOff>57151</xdr:rowOff>
    </xdr:from>
    <xdr:to>
      <xdr:col>1</xdr:col>
      <xdr:colOff>2959608</xdr:colOff>
      <xdr:row>41</xdr:row>
      <xdr:rowOff>76127</xdr:rowOff>
    </xdr:to>
    <xdr:pic>
      <xdr:nvPicPr>
        <xdr:cNvPr id="213" name="Immagin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2007333" y="7867651"/>
          <a:ext cx="1800000" cy="590476"/>
        </a:xfrm>
        <a:prstGeom prst="rect">
          <a:avLst/>
        </a:prstGeom>
      </xdr:spPr>
    </xdr:pic>
    <xdr:clientData/>
  </xdr:twoCellAnchor>
  <xdr:twoCellAnchor>
    <xdr:from>
      <xdr:col>1</xdr:col>
      <xdr:colOff>557897</xdr:colOff>
      <xdr:row>44</xdr:row>
      <xdr:rowOff>9526</xdr:rowOff>
    </xdr:from>
    <xdr:to>
      <xdr:col>1</xdr:col>
      <xdr:colOff>3790463</xdr:colOff>
      <xdr:row>53</xdr:row>
      <xdr:rowOff>169273</xdr:rowOff>
    </xdr:to>
    <xdr:grpSp>
      <xdr:nvGrpSpPr>
        <xdr:cNvPr id="214" name="Gruppo 213">
          <a:extLst>
            <a:ext uri="{FF2B5EF4-FFF2-40B4-BE49-F238E27FC236}">
              <a16:creationId xmlns:a16="http://schemas.microsoft.com/office/drawing/2014/main" id="{FB827C73-8C3F-460A-9D51-BF988EA48D11}"/>
            </a:ext>
          </a:extLst>
        </xdr:cNvPr>
        <xdr:cNvGrpSpPr/>
      </xdr:nvGrpSpPr>
      <xdr:grpSpPr>
        <a:xfrm>
          <a:off x="1405622" y="8963026"/>
          <a:ext cx="3232566" cy="1874247"/>
          <a:chOff x="4319575" y="4314825"/>
          <a:chExt cx="3211514" cy="1874247"/>
        </a:xfrm>
      </xdr:grpSpPr>
      <xdr:sp macro="" textlink="">
        <xdr:nvSpPr>
          <xdr:cNvPr id="219" name="testo_Formula" descr="=SOMMA(D38:D41) ">
            <a:extLst>
              <a:ext uri="{FF2B5EF4-FFF2-40B4-BE49-F238E27FC236}">
                <a16:creationId xmlns:a16="http://schemas.microsoft.com/office/drawing/2014/main" id="{7E312E8D-370B-4CB1-9C30-9E10D575E721}"/>
              </a:ext>
            </a:extLst>
          </xdr:cNvPr>
          <xdr:cNvSpPr txBox="1"/>
        </xdr:nvSpPr>
        <xdr:spPr>
          <a:xfrm>
            <a:off x="4386251" y="5657850"/>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=SOMM(D35:D38;H:H)</a:t>
            </a:r>
            <a:endParaRPr lang="en-US" sz="2000">
              <a:effectLst/>
              <a:latin typeface="Courier New" panose="02070309020205020404" pitchFamily="49" charset="0"/>
              <a:ea typeface="Times New Roman" panose="02020603050405020304" pitchFamily="18" charset="0"/>
            </a:endParaRPr>
          </a:p>
        </xdr:txBody>
      </xdr:sp>
      <xdr:grpSp>
        <xdr:nvGrpSpPr>
          <xdr:cNvPr id="220" name="Gruppo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ParentesiGraffaFormulaSuperiore">
              <a:extLst>
                <a:ext uri="{FF2B5EF4-FFF2-40B4-BE49-F238E27FC236}">
                  <a16:creationId xmlns:a16="http://schemas.microsoft.com/office/drawing/2014/main" id="{70C6032A-6C2C-406B-8451-B3D14C49A6BC}"/>
                </a:ext>
              </a:extLst>
            </xdr:cNvPr>
            <xdr:cNvSpPr/>
          </xdr:nvSpPr>
          <xdr:spPr>
            <a:xfrm rot="5400000">
              <a:off x="6502641"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2" name="ParentesiGraffaFormulaSuperiore">
              <a:extLst>
                <a:ext uri="{FF2B5EF4-FFF2-40B4-BE49-F238E27FC236}">
                  <a16:creationId xmlns:a16="http://schemas.microsoft.com/office/drawing/2014/main" id="{56068F5B-8EA0-44DA-8571-8698F744FFA6}"/>
                </a:ext>
              </a:extLst>
            </xdr:cNvPr>
            <xdr:cNvSpPr/>
          </xdr:nvSpPr>
          <xdr:spPr>
            <a:xfrm rot="5400000">
              <a:off x="5559670"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3" name="ParentesiGraffaFormulaSuperiore">
              <a:extLst>
                <a:ext uri="{FF2B5EF4-FFF2-40B4-BE49-F238E27FC236}">
                  <a16:creationId xmlns:a16="http://schemas.microsoft.com/office/drawing/2014/main" id="{B06AACB5-79F8-4B5A-828E-3C81B8A6126C}"/>
                </a:ext>
              </a:extLst>
            </xdr:cNvPr>
            <xdr:cNvSpPr/>
          </xdr:nvSpPr>
          <xdr:spPr>
            <a:xfrm rot="5400000">
              <a:off x="4616346" y="5121995"/>
              <a:ext cx="499277" cy="6375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4" name="testo_CalloutFormulaSuperiore" descr="Nome della funzion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Nome della funzione.</a:t>
              </a:r>
            </a:p>
          </xdr:txBody>
        </xdr:sp>
        <xdr:sp macro="" textlink="">
          <xdr:nvSpPr>
            <xdr:cNvPr id="225" name="testo_CalloutFormulaSuperiore" descr="Primo argomento. È quasi sempre necessario.&#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Primo argomento. È quasi sempre necessario.</a:t>
              </a:r>
            </a:p>
          </xdr:txBody>
        </xdr:sp>
        <xdr:sp macro="" textlink="">
          <xdr:nvSpPr>
            <xdr:cNvPr id="226" name="testo_CalloutFormulaSuperiore" descr="Argomenti aggiuntivi, separati da virgole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Argomenti aggiuntivi, separati da punti e virgola (;).</a:t>
              </a:r>
            </a:p>
          </xdr:txBody>
        </xdr:sp>
      </xdr:grpSp>
    </xdr:grpSp>
    <xdr:clientData/>
  </xdr:twoCellAnchor>
  <xdr:twoCellAnchor>
    <xdr:from>
      <xdr:col>0</xdr:col>
      <xdr:colOff>547558</xdr:colOff>
      <xdr:row>52</xdr:row>
      <xdr:rowOff>133351</xdr:rowOff>
    </xdr:from>
    <xdr:to>
      <xdr:col>1</xdr:col>
      <xdr:colOff>5048250</xdr:colOff>
      <xdr:row>57</xdr:row>
      <xdr:rowOff>28575</xdr:rowOff>
    </xdr:to>
    <xdr:sp macro="" textlink="">
      <xdr:nvSpPr>
        <xdr:cNvPr id="215" name="testo_Passaggio" descr="Se la funzione SOMMA potesse parlare, direbbe: restituisci la somma di tutti i valori nelle celle da D38 a D41 e tutta la colonna H. Ora proviamone una che non richiede argomenti.&#10;">
          <a:extLst>
            <a:ext uri="{FF2B5EF4-FFF2-40B4-BE49-F238E27FC236}">
              <a16:creationId xmlns:a16="http://schemas.microsoft.com/office/drawing/2014/main" id="{22A1C554-76ED-4E49-A496-849BD442214B}"/>
            </a:ext>
          </a:extLst>
        </xdr:cNvPr>
        <xdr:cNvSpPr txBox="1"/>
      </xdr:nvSpPr>
      <xdr:spPr>
        <a:xfrm>
          <a:off x="547558" y="10610851"/>
          <a:ext cx="5348417" cy="84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potesse parlare, direbbe: "Restituisci la somma di tutti i valori nelle celle da D35 a D38 e tutta la colonna H".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proviamone una che non richiede argomenti.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612602</xdr:colOff>
      <xdr:row>57</xdr:row>
      <xdr:rowOff>104776</xdr:rowOff>
    </xdr:from>
    <xdr:to>
      <xdr:col>1</xdr:col>
      <xdr:colOff>3905249</xdr:colOff>
      <xdr:row>64</xdr:row>
      <xdr:rowOff>159748</xdr:rowOff>
    </xdr:to>
    <xdr:grpSp>
      <xdr:nvGrpSpPr>
        <xdr:cNvPr id="3" name="Gruppo 2">
          <a:extLst>
            <a:ext uri="{FF2B5EF4-FFF2-40B4-BE49-F238E27FC236}">
              <a16:creationId xmlns:a16="http://schemas.microsoft.com/office/drawing/2014/main" id="{A1A853C7-B6EC-45D3-A4D6-9D928865ED9B}"/>
            </a:ext>
          </a:extLst>
        </xdr:cNvPr>
        <xdr:cNvGrpSpPr/>
      </xdr:nvGrpSpPr>
      <xdr:grpSpPr>
        <a:xfrm>
          <a:off x="1460327" y="11534776"/>
          <a:ext cx="3292647" cy="1388472"/>
          <a:chOff x="1736552" y="11125201"/>
          <a:chExt cx="3292647" cy="1388472"/>
        </a:xfrm>
      </xdr:grpSpPr>
      <xdr:sp macro="" textlink="">
        <xdr:nvSpPr>
          <xdr:cNvPr id="216" name="ParentesiGraffaFormulaSuperiore">
            <a:extLst>
              <a:ext uri="{FF2B5EF4-FFF2-40B4-BE49-F238E27FC236}">
                <a16:creationId xmlns:a16="http://schemas.microsoft.com/office/drawing/2014/main" id="{47A65F16-B2A6-46A3-B669-E6D2D5A6ECEB}"/>
              </a:ext>
            </a:extLst>
          </xdr:cNvPr>
          <xdr:cNvSpPr/>
        </xdr:nvSpPr>
        <xdr:spPr>
          <a:xfrm rot="5400000">
            <a:off x="3169836" y="11346268"/>
            <a:ext cx="499277" cy="87630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7" name="testo_Formula" descr="=OGGI()">
            <a:extLst>
              <a:ext uri="{FF2B5EF4-FFF2-40B4-BE49-F238E27FC236}">
                <a16:creationId xmlns:a16="http://schemas.microsoft.com/office/drawing/2014/main" id="{22DC5E2D-9AE9-4EFE-B800-9356D8B70BA7}"/>
              </a:ext>
            </a:extLst>
          </xdr:cNvPr>
          <xdr:cNvSpPr txBox="1"/>
        </xdr:nvSpPr>
        <xdr:spPr>
          <a:xfrm>
            <a:off x="284620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=OGGI()</a:t>
            </a:r>
            <a:endParaRPr lang="en-US" sz="2000">
              <a:effectLst/>
              <a:latin typeface="Courier New" panose="02070309020205020404" pitchFamily="49" charset="0"/>
              <a:ea typeface="Times New Roman" panose="02020603050405020304" pitchFamily="18" charset="0"/>
            </a:endParaRPr>
          </a:p>
        </xdr:txBody>
      </xdr:sp>
      <xdr:sp macro="" textlink="">
        <xdr:nvSpPr>
          <xdr:cNvPr id="218" name="testo_CalloutFormulaSuperiore" descr="La funzione OGGI restituisce la data corrente. Viene aggiornata automaticamente quando Excel ricalcola.&#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2" y="11125201"/>
            <a:ext cx="3292647"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La funzione </a:t>
            </a:r>
            <a:r>
              <a:rPr lang="it" sz="1100" b="1">
                <a:effectLst/>
                <a:latin typeface="Calibri" panose="020F0502020204030204" pitchFamily="34" charset="0"/>
                <a:ea typeface="Calibri" panose="020F0502020204030204" pitchFamily="34" charset="0"/>
                <a:cs typeface="Times New Roman" panose="02020603050405020304" pitchFamily="18" charset="0"/>
              </a:rPr>
              <a:t>OGGI</a:t>
            </a:r>
            <a:r>
              <a:rPr lang="it" sz="1100">
                <a:effectLst/>
                <a:latin typeface="Calibri" panose="020F0502020204030204" pitchFamily="34" charset="0"/>
                <a:ea typeface="Calibri" panose="020F0502020204030204" pitchFamily="34" charset="0"/>
                <a:cs typeface="Times New Roman" panose="02020603050405020304" pitchFamily="18" charset="0"/>
              </a:rPr>
              <a:t> restituisce la data corrente. Viene aggiornata</a:t>
            </a:r>
            <a:r>
              <a:rPr lang="it" sz="1100" baseline="0">
                <a:effectLst/>
                <a:latin typeface="Calibri" panose="020F0502020204030204" pitchFamily="34" charset="0"/>
                <a:ea typeface="Calibri" panose="020F0502020204030204" pitchFamily="34" charset="0"/>
                <a:cs typeface="Times New Roman" panose="02020603050405020304" pitchFamily="18" charset="0"/>
              </a:rPr>
              <a:t> automaticamente quando Excel ricalcola.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352423</xdr:rowOff>
    </xdr:from>
    <xdr:to>
      <xdr:col>1</xdr:col>
      <xdr:colOff>5229225</xdr:colOff>
      <xdr:row>24</xdr:row>
      <xdr:rowOff>161925</xdr:rowOff>
    </xdr:to>
    <xdr:grpSp>
      <xdr:nvGrpSpPr>
        <xdr:cNvPr id="232" name="Gruppo 231">
          <a:extLst>
            <a:ext uri="{FF2B5EF4-FFF2-40B4-BE49-F238E27FC236}">
              <a16:creationId xmlns:a16="http://schemas.microsoft.com/office/drawing/2014/main" id="{7A4FA281-7222-4655-A76E-27AE33A3FF1C}"/>
            </a:ext>
          </a:extLst>
        </xdr:cNvPr>
        <xdr:cNvGrpSpPr/>
      </xdr:nvGrpSpPr>
      <xdr:grpSpPr>
        <a:xfrm>
          <a:off x="342900" y="352423"/>
          <a:ext cx="5734050" cy="4953002"/>
          <a:chOff x="323850" y="276223"/>
          <a:chExt cx="5734050" cy="4762070"/>
        </a:xfrm>
      </xdr:grpSpPr>
      <xdr:sp macro="" textlink="">
        <xdr:nvSpPr>
          <xdr:cNvPr id="233" name="testo_SfondoPresentazione" descr="Sfondo">
            <a:extLst>
              <a:ext uri="{FF2B5EF4-FFF2-40B4-BE49-F238E27FC236}">
                <a16:creationId xmlns:a16="http://schemas.microsoft.com/office/drawing/2014/main" id="{2E503384-DBF5-4D47-BF12-EEAC0918D4AA}"/>
              </a:ext>
            </a:extLst>
          </xdr:cNvPr>
          <xdr:cNvSpPr/>
        </xdr:nvSpPr>
        <xdr:spPr>
          <a:xfrm>
            <a:off x="323850" y="276223"/>
            <a:ext cx="5734050" cy="4762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esto_TitoloPresentazione" descr="Introduzione alle funzioni">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Introduzione alle funzioni</a:t>
            </a:r>
          </a:p>
        </xdr:txBody>
      </xdr:sp>
      <xdr:cxnSp macro="">
        <xdr:nvCxnSpPr>
          <xdr:cNvPr id="235" name="testo_LineaPresentazione1" descr="Linea decorativa">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esto_LineaPresentazione2" descr="Linea decorativa">
            <a:extLst>
              <a:ext uri="{FF2B5EF4-FFF2-40B4-BE49-F238E27FC236}">
                <a16:creationId xmlns:a16="http://schemas.microsoft.com/office/drawing/2014/main" id="{EEEF91CB-D253-4B04-B06F-EF082C03A170}"/>
              </a:ext>
            </a:extLst>
          </xdr:cNvPr>
          <xdr:cNvCxnSpPr>
            <a:cxnSpLocks/>
          </xdr:cNvCxnSpPr>
        </xdr:nvCxnSpPr>
        <xdr:spPr>
          <a:xfrm>
            <a:off x="536578" y="42381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esto_IntroPresentazione" descr="Con le funzioni si possono svolgere molte azioni, ad esempio eseguire operazioni matematiche, cercare valori o persino calcolare date e ore. Proviamo a sommare valori in diversi modi con la funzione SOMMA.&#10;">
            <a:extLst>
              <a:ext uri="{FF2B5EF4-FFF2-40B4-BE49-F238E27FC236}">
                <a16:creationId xmlns:a16="http://schemas.microsoft.com/office/drawing/2014/main" id="{D14E5F97-98FC-4309-B1F6-64DC7B7C29DE}"/>
              </a:ext>
            </a:extLst>
          </xdr:cNvPr>
          <xdr:cNvSpPr txBox="1"/>
        </xdr:nvSpPr>
        <xdr:spPr>
          <a:xfrm>
            <a:off x="543088" y="976391"/>
            <a:ext cx="5251444" cy="61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 le funzioni si possono svolgere molte azioni, ad esempio eseguire operazioni matematiche, cercare valori o persino calcolare date e ore. Proviamo a sommare valori in diversi modi con la funzione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grpSp>
        <xdr:nvGrpSpPr>
          <xdr:cNvPr id="238" name="gruppo_Passaggio">
            <a:extLst>
              <a:ext uri="{FF2B5EF4-FFF2-40B4-BE49-F238E27FC236}">
                <a16:creationId xmlns:a16="http://schemas.microsoft.com/office/drawing/2014/main" id="{B0D2ED24-6683-4531-B8F5-0F2F4933BA4A}"/>
              </a:ext>
            </a:extLst>
          </xdr:cNvPr>
          <xdr:cNvGrpSpPr/>
        </xdr:nvGrpSpPr>
        <xdr:grpSpPr>
          <a:xfrm>
            <a:off x="542925" y="1638300"/>
            <a:ext cx="5238750" cy="936538"/>
            <a:chOff x="609600" y="7810500"/>
            <a:chExt cx="5204762" cy="936538"/>
          </a:xfrm>
        </xdr:grpSpPr>
        <xdr:sp macro="" textlink="">
          <xdr:nvSpPr>
            <xdr:cNvPr id="247" name="testo_Passaggio" descr="Nella colonna Quantità per Frutta (cella D7), immetti =SOMMA(D3:D6) oppure digita =SOMMA( e seleziona l'intervallo con il mouse, quindi premi INVIO. Vengono sommati i valori presenti nelle D3, D4, D5 e D6. La risposta dovrebbe essere 170.&#10;&#10;&#10;&#10;">
              <a:extLst>
                <a:ext uri="{FF2B5EF4-FFF2-40B4-BE49-F238E27FC236}">
                  <a16:creationId xmlns:a16="http://schemas.microsoft.com/office/drawing/2014/main" id="{810A5AB8-1BE7-4AA1-A49C-BD6D215DAFA4}"/>
                </a:ext>
              </a:extLst>
            </xdr:cNvPr>
            <xdr:cNvSpPr txBox="1"/>
          </xdr:nvSpPr>
          <xdr:spPr>
            <a:xfrm>
              <a:off x="1017295" y="7833408"/>
              <a:ext cx="4797067" cy="91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colonna Quantità per Frutta (cella D7),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=SOMMA(D3:D6)</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oppure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seleziona l'intervallo con il mouse, quindi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Vengono sommati i valori presenti nelle D3, D4, D5 e D6. La risposta dovrebbe essere 170.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forma_Passaggio"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239" name="gruppo_Passaggio">
            <a:extLst>
              <a:ext uri="{FF2B5EF4-FFF2-40B4-BE49-F238E27FC236}">
                <a16:creationId xmlns:a16="http://schemas.microsoft.com/office/drawing/2014/main" id="{D760DDB7-6B91-4E00-B2BE-F1BD6817C42A}"/>
              </a:ext>
            </a:extLst>
          </xdr:cNvPr>
          <xdr:cNvGrpSpPr/>
        </xdr:nvGrpSpPr>
        <xdr:grpSpPr>
          <a:xfrm>
            <a:off x="542925" y="2463664"/>
            <a:ext cx="5220101" cy="1091062"/>
            <a:chOff x="609600" y="8097701"/>
            <a:chExt cx="5186234" cy="1091062"/>
          </a:xfrm>
        </xdr:grpSpPr>
        <xdr:sp macro="" textlink="">
          <xdr:nvSpPr>
            <xdr:cNvPr id="245" name="testo_Passaggio" descr="Ora proviamo Somma automatica. Seleziona la cella gialla sotto la colonna relativa a Carne (cella G7), quindi passa a Formule &gt; Somma automatica e seleziona SOMMA. La formula verrà inserita automaticamente. Premi INVIO per confermarla. La funzionalità Somma automatica ha tutte le funzioni più comuni.&#10;&#10;">
              <a:extLst>
                <a:ext uri="{FF2B5EF4-FFF2-40B4-BE49-F238E27FC236}">
                  <a16:creationId xmlns:a16="http://schemas.microsoft.com/office/drawing/2014/main" id="{C6CA8983-E35C-4984-9B4D-732042B193D4}"/>
                </a:ext>
              </a:extLst>
            </xdr:cNvPr>
            <xdr:cNvSpPr txBox="1"/>
          </xdr:nvSpPr>
          <xdr:spPr>
            <a:xfrm>
              <a:off x="1017295" y="8139659"/>
              <a:ext cx="4778539" cy="1049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proviamo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 automatica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Seleziona la cella gialla sotto la colonna relativa a Carne (cella G7), quindi passa 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 automatica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seleziona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formula verrà inserita automaticamente.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confermarla. La funzionalità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 automatica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ha tutte le funzioni più comuni.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forma_Passaggio" descr="2">
              <a:extLst>
                <a:ext uri="{FF2B5EF4-FFF2-40B4-BE49-F238E27FC236}">
                  <a16:creationId xmlns:a16="http://schemas.microsoft.com/office/drawing/2014/main" id="{09967B0C-29E8-4781-A6FA-F5CB00C8AEBC}"/>
                </a:ext>
              </a:extLst>
            </xdr:cNvPr>
            <xdr:cNvSpPr/>
          </xdr:nvSpPr>
          <xdr:spPr>
            <a:xfrm>
              <a:off x="609600" y="8097701"/>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240" name="Gruppo 239">
            <a:extLst>
              <a:ext uri="{FF2B5EF4-FFF2-40B4-BE49-F238E27FC236}">
                <a16:creationId xmlns:a16="http://schemas.microsoft.com/office/drawing/2014/main" id="{DCC331A5-B81B-407D-A604-3A6691EE3721}"/>
              </a:ext>
            </a:extLst>
          </xdr:cNvPr>
          <xdr:cNvGrpSpPr/>
        </xdr:nvGrpSpPr>
        <xdr:grpSpPr>
          <a:xfrm>
            <a:off x="542925" y="3491248"/>
            <a:ext cx="5234994" cy="601091"/>
            <a:chOff x="561975" y="3300748"/>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3300748"/>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242" name="Passaggio" descr="Ecco una scelta rapida da tastiera specifica. Seleziona la cella D15, premi ALT= e quindi INVIO. La funzione SOMMA viene immessa automaticamente.&#10;">
              <a:extLst>
                <a:ext uri="{FF2B5EF4-FFF2-40B4-BE49-F238E27FC236}">
                  <a16:creationId xmlns:a16="http://schemas.microsoft.com/office/drawing/2014/main" id="{560D1E18-37A7-48F2-AA0C-0AF6088AF0AB}"/>
                </a:ext>
              </a:extLst>
            </xdr:cNvPr>
            <xdr:cNvSpPr txBox="1"/>
          </xdr:nvSpPr>
          <xdr:spPr>
            <a:xfrm>
              <a:off x="987453" y="3346238"/>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Ecco una scelta rapida da tastiera specifica. Seleziona la cella D15, premi 	     </a:t>
              </a: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quindi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viene immessa automaticamente.</a:t>
              </a:r>
            </a:p>
          </xdr:txBody>
        </xdr:sp>
        <xdr:sp macro="" textlink="">
          <xdr:nvSpPr>
            <xdr:cNvPr id="243" name="Tasto di uguale" descr="Tasto di uguale">
              <a:extLst>
                <a:ext uri="{FF2B5EF4-FFF2-40B4-BE49-F238E27FC236}">
                  <a16:creationId xmlns:a16="http://schemas.microsoft.com/office/drawing/2014/main" id="{CF33041B-BB98-41EE-BDDE-38D58DF9865E}"/>
                </a:ext>
              </a:extLst>
            </xdr:cNvPr>
            <xdr:cNvSpPr/>
          </xdr:nvSpPr>
          <xdr:spPr>
            <a:xfrm>
              <a:off x="1565405" y="3579049"/>
              <a:ext cx="422585" cy="17896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44" name="Tasto ALT" descr="Tasto ALT">
              <a:extLst>
                <a:ext uri="{FF2B5EF4-FFF2-40B4-BE49-F238E27FC236}">
                  <a16:creationId xmlns:a16="http://schemas.microsoft.com/office/drawing/2014/main" id="{0BFE17A4-7B91-43C3-90BB-12A4D5132A91}"/>
                </a:ext>
              </a:extLst>
            </xdr:cNvPr>
            <xdr:cNvSpPr/>
          </xdr:nvSpPr>
          <xdr:spPr>
            <a:xfrm>
              <a:off x="1073589" y="3579049"/>
              <a:ext cx="422585" cy="17896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clientData/>
  </xdr:twoCellAnchor>
  <xdr:twoCellAnchor>
    <xdr:from>
      <xdr:col>0</xdr:col>
      <xdr:colOff>647700</xdr:colOff>
      <xdr:row>21</xdr:row>
      <xdr:rowOff>66676</xdr:rowOff>
    </xdr:from>
    <xdr:to>
      <xdr:col>1</xdr:col>
      <xdr:colOff>2523042</xdr:colOff>
      <xdr:row>24</xdr:row>
      <xdr:rowOff>26100</xdr:rowOff>
    </xdr:to>
    <xdr:sp macro="" textlink="">
      <xdr:nvSpPr>
        <xdr:cNvPr id="249" name="Pulsante Altri dettagli" descr="Altri dettagli">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63867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xdr:from>
      <xdr:col>1</xdr:col>
      <xdr:colOff>3067050</xdr:colOff>
      <xdr:row>21</xdr:row>
      <xdr:rowOff>66676</xdr:rowOff>
    </xdr:from>
    <xdr:to>
      <xdr:col>1</xdr:col>
      <xdr:colOff>5013351</xdr:colOff>
      <xdr:row>23</xdr:row>
      <xdr:rowOff>30575</xdr:rowOff>
    </xdr:to>
    <xdr:sp macro="" textlink="">
      <xdr:nvSpPr>
        <xdr:cNvPr id="250" name="Pulsante Successivo" descr="Pulsante relativo al passaggio successivo, con un collegamento ipertestuale al foglio successivo">
          <a:hlinkClick xmlns:r="http://schemas.openxmlformats.org/officeDocument/2006/relationships" r:id="rId2" tooltip="Fai clic qui per passare al foglio di lavoro successivo"/>
          <a:extLst>
            <a:ext uri="{FF2B5EF4-FFF2-40B4-BE49-F238E27FC236}">
              <a16:creationId xmlns:a16="http://schemas.microsoft.com/office/drawing/2014/main" id="{08AAD723-1A75-444B-BF90-661FB4EE2F13}"/>
            </a:ext>
          </a:extLst>
        </xdr:cNvPr>
        <xdr:cNvSpPr/>
      </xdr:nvSpPr>
      <xdr:spPr>
        <a:xfrm>
          <a:off x="3914775" y="4638676"/>
          <a:ext cx="1946301" cy="344899"/>
        </a:xfrm>
        <a:prstGeom prst="rightArrowCallout">
          <a:avLst>
            <a:gd name="adj1" fmla="val 32829"/>
            <a:gd name="adj2" fmla="val 31524"/>
            <a:gd name="adj3" fmla="val 25000"/>
            <a:gd name="adj4" fmla="val 90762"/>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12</xdr:col>
      <xdr:colOff>95250</xdr:colOff>
      <xdr:row>24</xdr:row>
      <xdr:rowOff>123825</xdr:rowOff>
    </xdr:to>
    <xdr:grpSp>
      <xdr:nvGrpSpPr>
        <xdr:cNvPr id="50" name="Gruppo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8963027" y="3438525"/>
          <a:ext cx="4152898" cy="1828800"/>
          <a:chOff x="9048750" y="3743325"/>
          <a:chExt cx="4344275" cy="1828800"/>
        </a:xfrm>
      </xdr:grpSpPr>
      <xdr:sp macro="" textlink="">
        <xdr:nvSpPr>
          <xdr:cNvPr id="51" name="Passaggio"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3744383" cy="166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panose="020B0502040204020203" pitchFamily="34" charset="0"/>
              </a:rPr>
              <a:t>CREDITO EXTRA</a:t>
            </a:r>
          </a:p>
          <a:p>
            <a:pPr lvl="0" rtl="0">
              <a:defRPr/>
            </a:pPr>
            <a:r>
              <a:rPr lang="it" sz="1100"/>
              <a:t>Prova a usare</a:t>
            </a:r>
            <a:r>
              <a:rPr lang="it" sz="1100" baseline="0"/>
              <a:t> </a:t>
            </a:r>
            <a:r>
              <a:rPr lang="it" sz="1100" b="1"/>
              <a:t>MEDIANA</a:t>
            </a:r>
            <a:r>
              <a:rPr lang="it" sz="1100"/>
              <a:t> o </a:t>
            </a:r>
            <a:r>
              <a:rPr lang="it" sz="1100" b="1"/>
              <a:t>MODA</a:t>
            </a:r>
            <a:r>
              <a:rPr lang="it" sz="1100"/>
              <a:t> qui.</a:t>
            </a:r>
            <a:r>
              <a:rPr lang="it" sz="1100" baseline="0"/>
              <a:t> </a:t>
            </a:r>
          </a:p>
          <a:p>
            <a:pPr lvl="0" rtl="0">
              <a:defRPr/>
            </a:pPr>
            <a:endParaRPr lang="en-US" sz="1100" baseline="0"/>
          </a:p>
          <a:p>
            <a:pPr lvl="0" rtl="0">
              <a:defRPr/>
            </a:pPr>
            <a:r>
              <a:rPr lang="it" sz="1100" b="1" baseline="0"/>
              <a:t>MEDIANA</a:t>
            </a:r>
            <a:r>
              <a:rPr lang="it" sz="1100" baseline="0"/>
              <a:t> fornisce il valore mediano del set di dati, mentre </a:t>
            </a:r>
          </a:p>
          <a:p>
            <a:pPr lvl="0" rtl="0">
              <a:defRPr/>
            </a:pPr>
            <a:r>
              <a:rPr lang="it" sz="1100" b="1" baseline="0"/>
              <a:t>MODA</a:t>
            </a:r>
            <a:r>
              <a:rPr lang="it" sz="1100" baseline="0"/>
              <a:t> fornisce quello con più occorrenze.</a:t>
            </a:r>
            <a:endParaRPr lang="en-US" sz="1100"/>
          </a:p>
        </xdr:txBody>
      </xdr:sp>
      <xdr:pic>
        <xdr:nvPicPr>
          <xdr:cNvPr id="52" name="Barra multifunzione Credito extra" descr="Nastro decorativo">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Freccia Credito extra" descr="Freccia">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ulsanteIndietro" descr="Torna al foglio precedente">
          <a:hlinkClick xmlns:r="http://schemas.openxmlformats.org/officeDocument/2006/relationships" r:id="rId3" tooltip="Fai clic qui per tornare al foglio precedente"/>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PulsanteAvanti" descr="Passa al foglio successivo">
          <a:hlinkClick xmlns:r="http://schemas.openxmlformats.org/officeDocument/2006/relationships" r:id="rId4" tooltip="Fai clic qui per passare al foglio di lavoro successivo"/>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Avanti</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uppo 2">
          <a:extLst>
            <a:ext uri="{FF2B5EF4-FFF2-40B4-BE49-F238E27FC236}">
              <a16:creationId xmlns:a16="http://schemas.microsoft.com/office/drawing/2014/main" id="{34477964-9438-41C6-89D0-AF7334519BC2}"/>
            </a:ext>
          </a:extLst>
        </xdr:cNvPr>
        <xdr:cNvGrpSpPr/>
      </xdr:nvGrpSpPr>
      <xdr:grpSpPr>
        <a:xfrm>
          <a:off x="323850" y="3781426"/>
          <a:ext cx="5695950" cy="2400299"/>
          <a:chOff x="323850" y="3781426"/>
          <a:chExt cx="5695950" cy="2400299"/>
        </a:xfrm>
      </xdr:grpSpPr>
      <xdr:sp macro="" textlink="">
        <xdr:nvSpPr>
          <xdr:cNvPr id="62" name="Rettangolo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3" name="Passaggio" descr="Altre informazioni sul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Connettore diritto 63" descr="Linea decorativa">
            <a:extLst>
              <a:ext uri="{FF2B5EF4-FFF2-40B4-BE49-F238E27FC236}">
                <a16:creationId xmlns:a16="http://schemas.microsoft.com/office/drawing/2014/main" id="{78F5D1BC-989A-47DA-B5D1-2BEA7D8D2D8A}"/>
              </a:ext>
            </a:extLst>
          </xdr:cNvPr>
          <xdr:cNvCxnSpPr>
            <a:cxnSpLocks/>
          </xdr:cNvCxnSpPr>
        </xdr:nvCxnSpPr>
        <xdr:spPr>
          <a:xfrm>
            <a:off x="557084" y="43271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nettore diritto 64" descr="Linea decorativa">
            <a:extLst>
              <a:ext uri="{FF2B5EF4-FFF2-40B4-BE49-F238E27FC236}">
                <a16:creationId xmlns:a16="http://schemas.microsoft.com/office/drawing/2014/main" id="{92AA8791-8905-41A1-9A28-1540446DB53D}"/>
              </a:ext>
            </a:extLst>
          </xdr:cNvPr>
          <xdr:cNvCxnSpPr>
            <a:cxnSpLocks/>
          </xdr:cNvCxnSpPr>
        </xdr:nvCxnSpPr>
        <xdr:spPr>
          <a:xfrm>
            <a:off x="557084" y="60263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20</xdr:row>
      <xdr:rowOff>7069</xdr:rowOff>
    </xdr:from>
    <xdr:to>
      <xdr:col>1</xdr:col>
      <xdr:colOff>4400550</xdr:colOff>
      <xdr:row>21</xdr:row>
      <xdr:rowOff>175648</xdr:rowOff>
    </xdr:to>
    <xdr:grpSp>
      <xdr:nvGrpSpPr>
        <xdr:cNvPr id="4" name="Gruppo 3">
          <a:extLst>
            <a:ext uri="{FF2B5EF4-FFF2-40B4-BE49-F238E27FC236}">
              <a16:creationId xmlns:a16="http://schemas.microsoft.com/office/drawing/2014/main" id="{2A2F1EF0-54C4-4E96-96D9-0F415372CF05}"/>
            </a:ext>
          </a:extLst>
        </xdr:cNvPr>
        <xdr:cNvGrpSpPr/>
      </xdr:nvGrpSpPr>
      <xdr:grpSpPr>
        <a:xfrm>
          <a:off x="533831" y="4388569"/>
          <a:ext cx="4714444" cy="359079"/>
          <a:chOff x="533831" y="4331419"/>
          <a:chExt cx="4714444" cy="359079"/>
        </a:xfrm>
      </xdr:grpSpPr>
      <xdr:sp macro="" textlink="">
        <xdr:nvSpPr>
          <xdr:cNvPr id="66" name="Passaggio" descr="Informazioni complete sulla funzione MEDIA, con collegamento ipertestuale al Web&#10;&#10;">
            <a:hlinkClick xmlns:r="http://schemas.openxmlformats.org/officeDocument/2006/relationships" r:id="rId5" tooltip="Seleziona per ottenere informazioni complete dal Web sulla funzione MEDIA"/>
            <a:extLst>
              <a:ext uri="{FF2B5EF4-FFF2-40B4-BE49-F238E27FC236}">
                <a16:creationId xmlns:a16="http://schemas.microsoft.com/office/drawing/2014/main" id="{8B6EBA78-A2A3-48B8-B201-71B7C5D097B9}"/>
              </a:ext>
            </a:extLst>
          </xdr:cNvPr>
          <xdr:cNvSpPr txBox="1"/>
        </xdr:nvSpPr>
        <xdr:spPr>
          <a:xfrm>
            <a:off x="999016" y="4405779"/>
            <a:ext cx="42492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67"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22</xdr:row>
      <xdr:rowOff>510</xdr:rowOff>
    </xdr:from>
    <xdr:to>
      <xdr:col>1</xdr:col>
      <xdr:colOff>3876675</xdr:colOff>
      <xdr:row>23</xdr:row>
      <xdr:rowOff>174399</xdr:rowOff>
    </xdr:to>
    <xdr:grpSp>
      <xdr:nvGrpSpPr>
        <xdr:cNvPr id="5" name="Gruppo 4">
          <a:extLst>
            <a:ext uri="{FF2B5EF4-FFF2-40B4-BE49-F238E27FC236}">
              <a16:creationId xmlns:a16="http://schemas.microsoft.com/office/drawing/2014/main" id="{8070DC97-C65B-4D56-B70E-5A742EA38D3C}"/>
            </a:ext>
          </a:extLst>
        </xdr:cNvPr>
        <xdr:cNvGrpSpPr/>
      </xdr:nvGrpSpPr>
      <xdr:grpSpPr>
        <a:xfrm>
          <a:off x="533831" y="4763010"/>
          <a:ext cx="4190569" cy="364389"/>
          <a:chOff x="533831" y="4705860"/>
          <a:chExt cx="4190569" cy="364389"/>
        </a:xfrm>
      </xdr:grpSpPr>
      <xdr:sp macro="" textlink="">
        <xdr:nvSpPr>
          <xdr:cNvPr id="68" name="Passaggio" descr="Informazioni complete sulla funzione CONTA.NUMERI, con collegamento ipertestuale al Web&#10;">
            <a:hlinkClick xmlns:r="http://schemas.openxmlformats.org/officeDocument/2006/relationships" r:id="rId8" tooltip="Seleziona per ottenere informazioni complete dal Web sulla funzione MEDIANA"/>
            <a:extLst>
              <a:ext uri="{FF2B5EF4-FFF2-40B4-BE49-F238E27FC236}">
                <a16:creationId xmlns:a16="http://schemas.microsoft.com/office/drawing/2014/main" id="{BA81DE9B-3E7D-4972-B9DA-B32D9B84A7B0}"/>
              </a:ext>
            </a:extLst>
          </xdr:cNvPr>
          <xdr:cNvSpPr txBox="1"/>
        </xdr:nvSpPr>
        <xdr:spPr>
          <a:xfrm>
            <a:off x="999016" y="4802711"/>
            <a:ext cx="37253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MEDIANA</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69"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24</xdr:row>
      <xdr:rowOff>14173</xdr:rowOff>
    </xdr:from>
    <xdr:to>
      <xdr:col>1</xdr:col>
      <xdr:colOff>3867150</xdr:colOff>
      <xdr:row>25</xdr:row>
      <xdr:rowOff>182752</xdr:rowOff>
    </xdr:to>
    <xdr:grpSp>
      <xdr:nvGrpSpPr>
        <xdr:cNvPr id="6" name="Gruppo 5">
          <a:extLst>
            <a:ext uri="{FF2B5EF4-FFF2-40B4-BE49-F238E27FC236}">
              <a16:creationId xmlns:a16="http://schemas.microsoft.com/office/drawing/2014/main" id="{3CA2605E-542A-4852-9719-D7B97D165AA8}"/>
            </a:ext>
          </a:extLst>
        </xdr:cNvPr>
        <xdr:cNvGrpSpPr/>
      </xdr:nvGrpSpPr>
      <xdr:grpSpPr>
        <a:xfrm>
          <a:off x="533831" y="5157673"/>
          <a:ext cx="4181044" cy="359079"/>
          <a:chOff x="533831" y="5100523"/>
          <a:chExt cx="4181044" cy="359079"/>
        </a:xfrm>
      </xdr:grpSpPr>
      <xdr:sp macro="" textlink="">
        <xdr:nvSpPr>
          <xdr:cNvPr id="70" name="Passaggio" descr="Usare Excel come calcolatrice, con collegamento ipertestuale al Web&#10;">
            <a:hlinkClick xmlns:r="http://schemas.openxmlformats.org/officeDocument/2006/relationships" r:id="rId9" tooltip="Seleziona per ottenere informazioni complete dal Web sulla funzione MODA"/>
            <a:extLst>
              <a:ext uri="{FF2B5EF4-FFF2-40B4-BE49-F238E27FC236}">
                <a16:creationId xmlns:a16="http://schemas.microsoft.com/office/drawing/2014/main" id="{D8C06581-85B1-48B2-9903-8FE135F6657E}"/>
              </a:ext>
            </a:extLst>
          </xdr:cNvPr>
          <xdr:cNvSpPr txBox="1"/>
        </xdr:nvSpPr>
        <xdr:spPr>
          <a:xfrm>
            <a:off x="999016" y="5196474"/>
            <a:ext cx="371585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MODA</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71" name="Elemento grafico 70" descr="Freccia">
            <a:hlinkClick xmlns:r="http://schemas.openxmlformats.org/officeDocument/2006/relationships" r:id="rId9" tooltip="Seleziona per ottenere altre informazioni dal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26</xdr:row>
      <xdr:rowOff>22528</xdr:rowOff>
    </xdr:from>
    <xdr:to>
      <xdr:col>1</xdr:col>
      <xdr:colOff>3933825</xdr:colOff>
      <xdr:row>28</xdr:row>
      <xdr:rowOff>5917</xdr:rowOff>
    </xdr:to>
    <xdr:grpSp>
      <xdr:nvGrpSpPr>
        <xdr:cNvPr id="7" name="Gruppo 6">
          <a:extLst>
            <a:ext uri="{FF2B5EF4-FFF2-40B4-BE49-F238E27FC236}">
              <a16:creationId xmlns:a16="http://schemas.microsoft.com/office/drawing/2014/main" id="{73707755-F600-4512-81C1-EB2BE159BA8A}"/>
            </a:ext>
          </a:extLst>
        </xdr:cNvPr>
        <xdr:cNvGrpSpPr/>
      </xdr:nvGrpSpPr>
      <xdr:grpSpPr>
        <a:xfrm>
          <a:off x="546440" y="5547028"/>
          <a:ext cx="4235110" cy="364389"/>
          <a:chOff x="546440" y="5489878"/>
          <a:chExt cx="4235110" cy="364389"/>
        </a:xfrm>
      </xdr:grpSpPr>
      <xdr:sp macro="" textlink="">
        <xdr:nvSpPr>
          <xdr:cNvPr id="72" name="Passaggio" descr="Formazione gratuita su Excel disponibile online, con collegamento ipertestuale al Web&#10;">
            <a:hlinkClick xmlns:r="http://schemas.openxmlformats.org/officeDocument/2006/relationships" r:id="rId10" tooltip="Seleziona per ottenere informazioni sulle risorse di formazione gratuita su Excel sul Web"/>
            <a:extLst>
              <a:ext uri="{FF2B5EF4-FFF2-40B4-BE49-F238E27FC236}">
                <a16:creationId xmlns:a16="http://schemas.microsoft.com/office/drawing/2014/main" id="{C58EAA90-3FBF-49C2-82FA-21634FD8AC83}"/>
              </a:ext>
            </a:extLst>
          </xdr:cNvPr>
          <xdr:cNvSpPr txBox="1"/>
        </xdr:nvSpPr>
        <xdr:spPr>
          <a:xfrm>
            <a:off x="1011624" y="5569557"/>
            <a:ext cx="37699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73" name="Elemento grafico 22" descr="Freccia">
            <a:hlinkClick xmlns:r="http://schemas.openxmlformats.org/officeDocument/2006/relationships" r:id="rId10" tooltip="Seleziona per ottenere altre informazioni dal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uppo 1">
          <a:extLst>
            <a:ext uri="{FF2B5EF4-FFF2-40B4-BE49-F238E27FC236}">
              <a16:creationId xmlns:a16="http://schemas.microsoft.com/office/drawing/2014/main" id="{33E5237C-83C3-4564-93AA-DF5775431276}"/>
            </a:ext>
          </a:extLst>
        </xdr:cNvPr>
        <xdr:cNvGrpSpPr/>
      </xdr:nvGrpSpPr>
      <xdr:grpSpPr>
        <a:xfrm>
          <a:off x="333375" y="352425"/>
          <a:ext cx="5676900" cy="3314700"/>
          <a:chOff x="333375" y="352425"/>
          <a:chExt cx="5676900" cy="3314700"/>
        </a:xfrm>
      </xdr:grpSpPr>
      <xdr:sp macro="" textlink="">
        <xdr:nvSpPr>
          <xdr:cNvPr id="54" name="Sfondo" descr="Sfondo">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Linea inferiore" descr="Linea decorativa">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Passaggio" descr="Funzioni MEDIA e CONTA.NUMERI">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Funzione MEDIA</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sp macro="" textlink="">
        <xdr:nvSpPr>
          <xdr:cNvPr id="60" name="Introduzione alla somma di numeri"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kern="1200" spc="-20" baseline="0">
                <a:solidFill>
                  <a:schemeClr val="tx1">
                    <a:lumMod val="75000"/>
                    <a:lumOff val="25000"/>
                  </a:schemeClr>
                </a:solidFill>
                <a:latin typeface="Segoe UI" panose="020B0502040204020203" pitchFamily="34" charset="0"/>
                <a:ea typeface="+mn-ea"/>
                <a:cs typeface="Segoe UI" panose="020B0502040204020203" pitchFamily="34" charset="0"/>
              </a:rPr>
              <a:t>La funzione </a:t>
            </a:r>
            <a:r>
              <a:rPr lang="it" sz="1100" b="1" kern="1200" spc="-20" baseline="0">
                <a:solidFill>
                  <a:schemeClr val="tx1">
                    <a:lumMod val="75000"/>
                    <a:lumOff val="25000"/>
                  </a:schemeClr>
                </a:solidFill>
                <a:latin typeface="Segoe UI" panose="020B0502040204020203" pitchFamily="34" charset="0"/>
                <a:ea typeface="+mn-ea"/>
                <a:cs typeface="Segoe UI" panose="020B0502040204020203" pitchFamily="34" charset="0"/>
              </a:rPr>
              <a:t>MEDIA</a:t>
            </a:r>
            <a:r>
              <a:rPr lang="it" sz="1100" kern="1200" spc="-20" baseline="0">
                <a:solidFill>
                  <a:schemeClr val="tx1">
                    <a:lumMod val="75000"/>
                    <a:lumOff val="25000"/>
                  </a:schemeClr>
                </a:solidFill>
                <a:latin typeface="Segoe UI" panose="020B0502040204020203" pitchFamily="34" charset="0"/>
                <a:ea typeface="+mn-ea"/>
                <a:cs typeface="Segoe UI" panose="020B0502040204020203" pitchFamily="34" charset="0"/>
              </a:rPr>
              <a:t> consente di ottenere la media dei numeri in un intervallo di celle.</a:t>
            </a:r>
          </a:p>
        </xdr:txBody>
      </xdr:sp>
      <xdr:cxnSp macro="">
        <xdr:nvCxnSpPr>
          <xdr:cNvPr id="74" name="Connettore diritto 73" descr="Linea decorativa">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uppo_Passaggio">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Passaggio" descr="Fai clic sulla cella D7, quindi usa la procedura guidata Somma automatica per aggiungere una funzione MEDIA.&#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Seleziona la cella D7, quindi usa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 automatica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aggiungere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MEDIA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78" name="gruppo_Passaggio">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Passaggio" descr="Ora fai clic sulla cella G7 e immetti manualmente una funzione CONTA.NUMERI digitando =CONTA.NUMERI(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seleziona la cella G7 e immetti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MEDIA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digitando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=MEDIA(G3:G6).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81" name="gruppo_Passaggio">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Passaggio" descr="Nella cella D15 puoi usare la creazione guidata Somma automatica oppure immettere manualmente una funzione MEDIA o CONTA.NUMERI.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D15 puoi usare la creazione guidata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 automatica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oppure immettere manualmente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MEDIA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ulsanteIndietro" descr="Torna al foglio precedente">
          <a:hlinkClick xmlns:r="http://schemas.openxmlformats.org/officeDocument/2006/relationships" r:id="rId3" tooltip="Fai clic qui per tornare al foglio precedente"/>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absoluteAnchor>
  <xdr:absoluteAnchor>
    <xdr:pos x="4494261" y="3181350"/>
    <xdr:ext cx="1275170" cy="335449"/>
    <xdr:sp macro="" textlink="">
      <xdr:nvSpPr>
        <xdr:cNvPr id="41" name="PulsanteAvanti" descr="Passa al foglio successivo">
          <a:hlinkClick xmlns:r="http://schemas.openxmlformats.org/officeDocument/2006/relationships" r:id="rId4" tooltip="Fai clic qui per passare al foglio successivo"/>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GUARDA QUI" descr="GUARDA QUI&#10;&#10;">
          <a:extLst>
            <a:ext uri="{FF2B5EF4-FFF2-40B4-BE49-F238E27FC236}">
              <a16:creationId xmlns:a16="http://schemas.microsoft.com/office/drawing/2014/main" id="{4F2C83E2-CCF8-46E7-9C89-FEAB092ACF14}"/>
            </a:ext>
          </a:extLst>
        </xdr:cNvPr>
        <xdr:cNvGrpSpPr/>
      </xdr:nvGrpSpPr>
      <xdr:grpSpPr>
        <a:xfrm>
          <a:off x="10096500" y="857250"/>
          <a:ext cx="2562216" cy="1409701"/>
          <a:chOff x="7539454" y="7993902"/>
          <a:chExt cx="2562091" cy="1409701"/>
        </a:xfrm>
      </xdr:grpSpPr>
      <xdr:grpSp>
        <xdr:nvGrpSpPr>
          <xdr:cNvPr id="43" name="Linee parentesi quadre">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ltra linea parentesi quadra" descr="Linea parentesi quadra">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Linea parentesi quadra" descr="Linea parentesi quadra&#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44" name="Stelle" descr="Stelle">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struzioni"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Seleziona un intervallo di numeri</a:t>
            </a:r>
            <a:r>
              <a:rPr lang="it" sz="1100" kern="0" baseline="0">
                <a:solidFill>
                  <a:schemeClr val="bg2">
                    <a:lumMod val="25000"/>
                  </a:schemeClr>
                </a:solidFill>
                <a:latin typeface="+mn-lt"/>
                <a:ea typeface="Segoe UI" pitchFamily="34" charset="0"/>
                <a:cs typeface="Segoe UI Light" panose="020B0502040204020203" pitchFamily="34" charset="0"/>
              </a:rPr>
              <a:t>, quindi osserva la media immediata riportata sulla barra di stato.</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Linea inferiore" descr="Linea decorativa">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0</xdr:row>
      <xdr:rowOff>352425</xdr:rowOff>
    </xdr:from>
    <xdr:to>
      <xdr:col>1</xdr:col>
      <xdr:colOff>5172075</xdr:colOff>
      <xdr:row>16</xdr:row>
      <xdr:rowOff>123825</xdr:rowOff>
    </xdr:to>
    <xdr:sp macro="" textlink="">
      <xdr:nvSpPr>
        <xdr:cNvPr id="10" name="Sfondo" descr="Sfondo">
          <a:extLst>
            <a:ext uri="{FF2B5EF4-FFF2-40B4-BE49-F238E27FC236}">
              <a16:creationId xmlns:a16="http://schemas.microsoft.com/office/drawing/2014/main" id="{CB9819E8-3CD0-4C0B-A61A-2C34908D539E}"/>
            </a:ext>
          </a:extLst>
        </xdr:cNvPr>
        <xdr:cNvSpPr/>
      </xdr:nvSpPr>
      <xdr:spPr>
        <a:xfrm>
          <a:off x="34290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Passaggio" descr="Funzioni MIN e MAX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Funzioni MIN e MAX </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Linea inferiore" descr="Linea decorativa">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109542</xdr:rowOff>
    </xdr:from>
    <xdr:to>
      <xdr:col>1</xdr:col>
      <xdr:colOff>4941642</xdr:colOff>
      <xdr:row>7</xdr:row>
      <xdr:rowOff>112013</xdr:rowOff>
    </xdr:to>
    <xdr:grpSp>
      <xdr:nvGrpSpPr>
        <xdr:cNvPr id="16" name="gruppo_Passaggio">
          <a:extLst>
            <a:ext uri="{FF2B5EF4-FFF2-40B4-BE49-F238E27FC236}">
              <a16:creationId xmlns:a16="http://schemas.microsoft.com/office/drawing/2014/main" id="{ACD1828C-DCA0-413C-9B03-AC8C886B868F}"/>
            </a:ext>
          </a:extLst>
        </xdr:cNvPr>
        <xdr:cNvGrpSpPr/>
      </xdr:nvGrpSpPr>
      <xdr:grpSpPr>
        <a:xfrm>
          <a:off x="571505" y="1443042"/>
          <a:ext cx="5217862" cy="573971"/>
          <a:chOff x="425239" y="1752333"/>
          <a:chExt cx="5226084" cy="584476"/>
        </a:xfrm>
      </xdr:grpSpPr>
      <xdr:sp macro="" textlink="">
        <xdr:nvSpPr>
          <xdr:cNvPr id="24" name="Passaggio" descr="Seleziona la cella D7, quindi usa la procedura guidata Somma automatica per aggiungere una funzione MIN.&#10;&#10;">
            <a:extLst>
              <a:ext uri="{FF2B5EF4-FFF2-40B4-BE49-F238E27FC236}">
                <a16:creationId xmlns:a16="http://schemas.microsoft.com/office/drawing/2014/main" id="{D40637C7-0E2A-4342-9CA2-3732FB1CF31E}"/>
              </a:ext>
            </a:extLst>
          </xdr:cNvPr>
          <xdr:cNvSpPr txBox="1"/>
        </xdr:nvSpPr>
        <xdr:spPr>
          <a:xfrm>
            <a:off x="841807" y="1775427"/>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Seleziona la cella D7, quindi usa la procedura guidata Somma automatica per aggiungere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uppo_Passaggio">
          <a:extLst>
            <a:ext uri="{FF2B5EF4-FFF2-40B4-BE49-F238E27FC236}">
              <a16:creationId xmlns:a16="http://schemas.microsoft.com/office/drawing/2014/main" id="{C6DE3E57-FFF3-4FAC-B4DB-48087863CEA8}"/>
            </a:ext>
          </a:extLst>
        </xdr:cNvPr>
        <xdr:cNvGrpSpPr/>
      </xdr:nvGrpSpPr>
      <xdr:grpSpPr>
        <a:xfrm>
          <a:off x="561980" y="1962164"/>
          <a:ext cx="5217868" cy="554931"/>
          <a:chOff x="308069" y="1003336"/>
          <a:chExt cx="5226090" cy="565088"/>
        </a:xfrm>
      </xdr:grpSpPr>
      <xdr:sp macro="" textlink="">
        <xdr:nvSpPr>
          <xdr:cNvPr id="22" name="Passaggio" descr="Ora seleziona la cella G7 e immetti una funzione MAX digitando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seleziona la cella G7 e immetti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digitando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=MAX(G3:G6)</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133348</xdr:rowOff>
    </xdr:from>
    <xdr:to>
      <xdr:col>1</xdr:col>
      <xdr:colOff>5024713</xdr:colOff>
      <xdr:row>3</xdr:row>
      <xdr:rowOff>190499</xdr:rowOff>
    </xdr:to>
    <xdr:sp macro="" textlink="">
      <xdr:nvSpPr>
        <xdr:cNvPr id="18" name="Introduzione alla somma di numeri"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8"/>
          <a:ext cx="5300938"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kern="1200" spc="-10">
              <a:solidFill>
                <a:schemeClr val="tx1">
                  <a:lumMod val="75000"/>
                  <a:lumOff val="25000"/>
                </a:schemeClr>
              </a:solidFill>
              <a:latin typeface="Segoe UI" panose="020B0502040204020203" pitchFamily="34" charset="0"/>
              <a:ea typeface="+mn-ea"/>
              <a:cs typeface="Segoe UI" panose="020B0502040204020203" pitchFamily="34" charset="0"/>
            </a:rPr>
            <a:t>La funzione </a:t>
          </a:r>
          <a:r>
            <a:rPr lang="it" sz="1100" b="1" kern="1200" spc="-10">
              <a:solidFill>
                <a:schemeClr val="tx1">
                  <a:lumMod val="75000"/>
                  <a:lumOff val="25000"/>
                </a:schemeClr>
              </a:solidFill>
              <a:latin typeface="Segoe UI" panose="020B0502040204020203" pitchFamily="34" charset="0"/>
              <a:ea typeface="+mn-ea"/>
              <a:cs typeface="Segoe UI" panose="020B0502040204020203" pitchFamily="34" charset="0"/>
            </a:rPr>
            <a:t>MIN</a:t>
          </a:r>
          <a:r>
            <a:rPr lang="it" sz="1100" kern="1200" spc="-10">
              <a:solidFill>
                <a:schemeClr val="tx1">
                  <a:lumMod val="75000"/>
                  <a:lumOff val="25000"/>
                </a:schemeClr>
              </a:solidFill>
              <a:latin typeface="Segoe UI" panose="020B0502040204020203" pitchFamily="34" charset="0"/>
              <a:ea typeface="+mn-ea"/>
              <a:cs typeface="Segoe UI" panose="020B0502040204020203" pitchFamily="34" charset="0"/>
            </a:rPr>
            <a:t> consente di ottenere il numero più piccolo in un intervallo di celle.</a:t>
          </a: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 funzione </a:t>
          </a:r>
          <a:r>
            <a:rPr lang="it" sz="1100" b="1"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lang="it"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consente di ottenere il numero più grande in un intervallo di celle.</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uppo_Passaggio">
          <a:extLst>
            <a:ext uri="{FF2B5EF4-FFF2-40B4-BE49-F238E27FC236}">
              <a16:creationId xmlns:a16="http://schemas.microsoft.com/office/drawing/2014/main" id="{E19A8549-EA85-41D7-8F76-919D997AC5D5}"/>
            </a:ext>
          </a:extLst>
        </xdr:cNvPr>
        <xdr:cNvGrpSpPr/>
      </xdr:nvGrpSpPr>
      <xdr:grpSpPr>
        <a:xfrm>
          <a:off x="561975" y="2476499"/>
          <a:ext cx="5268667" cy="596207"/>
          <a:chOff x="307333" y="1003336"/>
          <a:chExt cx="5225997" cy="603885"/>
        </a:xfrm>
      </xdr:grpSpPr>
      <xdr:sp macro="" textlink="">
        <xdr:nvSpPr>
          <xdr:cNvPr id="20" name="Passaggio" descr="Nella cella D15 puoi usare la creazione guidata Somma automatica oppure immettere manualmente una funzione MIN o MAX.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D15 puoi usare la creazione guidata Somma automatica oppure immettere manualmente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342900</xdr:colOff>
      <xdr:row>17</xdr:row>
      <xdr:rowOff>19051</xdr:rowOff>
    </xdr:from>
    <xdr:to>
      <xdr:col>1</xdr:col>
      <xdr:colOff>5191125</xdr:colOff>
      <xdr:row>28</xdr:row>
      <xdr:rowOff>1</xdr:rowOff>
    </xdr:to>
    <xdr:grpSp>
      <xdr:nvGrpSpPr>
        <xdr:cNvPr id="3" name="Gruppo 2">
          <a:extLst>
            <a:ext uri="{FF2B5EF4-FFF2-40B4-BE49-F238E27FC236}">
              <a16:creationId xmlns:a16="http://schemas.microsoft.com/office/drawing/2014/main" id="{93BD323D-B807-4DC9-82D1-2419D0592459}"/>
            </a:ext>
          </a:extLst>
        </xdr:cNvPr>
        <xdr:cNvGrpSpPr/>
      </xdr:nvGrpSpPr>
      <xdr:grpSpPr>
        <a:xfrm>
          <a:off x="342900" y="3829051"/>
          <a:ext cx="5695950" cy="2076450"/>
          <a:chOff x="361950" y="4257676"/>
          <a:chExt cx="5695950" cy="2076450"/>
        </a:xfrm>
      </xdr:grpSpPr>
      <xdr:sp macro="" textlink="">
        <xdr:nvSpPr>
          <xdr:cNvPr id="27" name="Rettangolo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8" name="Passaggio" descr="Altre informazioni sul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Connettore diritto 28" descr="Linea decorativa">
            <a:extLst>
              <a:ext uri="{FF2B5EF4-FFF2-40B4-BE49-F238E27FC236}">
                <a16:creationId xmlns:a16="http://schemas.microsoft.com/office/drawing/2014/main" id="{B3104255-0CEA-4FDA-A658-47296C06C36F}"/>
              </a:ext>
            </a:extLst>
          </xdr:cNvPr>
          <xdr:cNvCxnSpPr>
            <a:cxnSpLocks/>
          </xdr:cNvCxnSpPr>
        </xdr:nvCxnSpPr>
        <xdr:spPr>
          <a:xfrm>
            <a:off x="553932" y="48224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Connettore diritto 29" descr="Linea decorativa">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73744</xdr:rowOff>
    </xdr:from>
    <xdr:to>
      <xdr:col>1</xdr:col>
      <xdr:colOff>4514850</xdr:colOff>
      <xdr:row>22</xdr:row>
      <xdr:rowOff>51823</xdr:rowOff>
    </xdr:to>
    <xdr:grpSp>
      <xdr:nvGrpSpPr>
        <xdr:cNvPr id="6" name="Gruppo 5">
          <a:extLst>
            <a:ext uri="{FF2B5EF4-FFF2-40B4-BE49-F238E27FC236}">
              <a16:creationId xmlns:a16="http://schemas.microsoft.com/office/drawing/2014/main" id="{FFCA9288-014C-4486-980E-27B20766EED2}"/>
            </a:ext>
          </a:extLst>
        </xdr:cNvPr>
        <xdr:cNvGrpSpPr/>
      </xdr:nvGrpSpPr>
      <xdr:grpSpPr>
        <a:xfrm>
          <a:off x="571931" y="4455244"/>
          <a:ext cx="4790644" cy="359079"/>
          <a:chOff x="571931" y="4826719"/>
          <a:chExt cx="4790644" cy="359079"/>
        </a:xfrm>
      </xdr:grpSpPr>
      <xdr:sp macro="" textlink="">
        <xdr:nvSpPr>
          <xdr:cNvPr id="31" name="Passaggio" descr="Informazioni complete sulla funzione MIN, con collegamento ipertestuale al Web&#10;&#10;">
            <a:hlinkClick xmlns:r="http://schemas.openxmlformats.org/officeDocument/2006/relationships" r:id="rId1" tooltip="Seleziona per ottenere informazioni complete dal Web sulla funzione MIN"/>
            <a:extLst>
              <a:ext uri="{FF2B5EF4-FFF2-40B4-BE49-F238E27FC236}">
                <a16:creationId xmlns:a16="http://schemas.microsoft.com/office/drawing/2014/main" id="{E268E6C5-C10D-4D45-964B-7EC8CCA4D651}"/>
              </a:ext>
            </a:extLst>
          </xdr:cNvPr>
          <xdr:cNvSpPr txBox="1"/>
        </xdr:nvSpPr>
        <xdr:spPr>
          <a:xfrm>
            <a:off x="1037116" y="4901079"/>
            <a:ext cx="43254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32" name="Elemento grafico 22" descr="Freccia">
            <a:hlinkClick xmlns:r="http://schemas.openxmlformats.org/officeDocument/2006/relationships" r:id="rId1" tooltip="Seleziona per ottenere altre informazioni dal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59671</xdr:rowOff>
    </xdr:from>
    <xdr:to>
      <xdr:col>1</xdr:col>
      <xdr:colOff>4733925</xdr:colOff>
      <xdr:row>24</xdr:row>
      <xdr:rowOff>43060</xdr:rowOff>
    </xdr:to>
    <xdr:grpSp>
      <xdr:nvGrpSpPr>
        <xdr:cNvPr id="5" name="Gruppo 4">
          <a:extLst>
            <a:ext uri="{FF2B5EF4-FFF2-40B4-BE49-F238E27FC236}">
              <a16:creationId xmlns:a16="http://schemas.microsoft.com/office/drawing/2014/main" id="{432B9DC1-07CB-4CB5-9408-142776FE3CE6}"/>
            </a:ext>
          </a:extLst>
        </xdr:cNvPr>
        <xdr:cNvGrpSpPr/>
      </xdr:nvGrpSpPr>
      <xdr:grpSpPr>
        <a:xfrm>
          <a:off x="571931" y="4822171"/>
          <a:ext cx="5009719" cy="364389"/>
          <a:chOff x="571931" y="5193646"/>
          <a:chExt cx="5009719" cy="364389"/>
        </a:xfrm>
      </xdr:grpSpPr>
      <xdr:sp macro="" textlink="">
        <xdr:nvSpPr>
          <xdr:cNvPr id="33" name="Passaggio" descr="Informazioni complete sulla funzione MAX, con collegamento ipertestuale al Web&#10;">
            <a:hlinkClick xmlns:r="http://schemas.openxmlformats.org/officeDocument/2006/relationships" r:id="rId4" tooltip="Seleziona per ottenere informazioni complete dal Web sulla funzione MAX"/>
            <a:extLst>
              <a:ext uri="{FF2B5EF4-FFF2-40B4-BE49-F238E27FC236}">
                <a16:creationId xmlns:a16="http://schemas.microsoft.com/office/drawing/2014/main" id="{118881C9-E273-4528-B2BB-EADC59D4FCD0}"/>
              </a:ext>
            </a:extLst>
          </xdr:cNvPr>
          <xdr:cNvSpPr txBox="1"/>
        </xdr:nvSpPr>
        <xdr:spPr>
          <a:xfrm>
            <a:off x="1037116" y="5278961"/>
            <a:ext cx="454453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34" name="Elemento grafico 22" descr="Freccia">
            <a:hlinkClick xmlns:r="http://schemas.openxmlformats.org/officeDocument/2006/relationships" r:id="rId4" tooltip="Seleziona per ottenere altre informazioni dal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98728</xdr:rowOff>
    </xdr:from>
    <xdr:to>
      <xdr:col>1</xdr:col>
      <xdr:colOff>4810125</xdr:colOff>
      <xdr:row>26</xdr:row>
      <xdr:rowOff>82117</xdr:rowOff>
    </xdr:to>
    <xdr:grpSp>
      <xdr:nvGrpSpPr>
        <xdr:cNvPr id="4" name="Gruppo 3">
          <a:extLst>
            <a:ext uri="{FF2B5EF4-FFF2-40B4-BE49-F238E27FC236}">
              <a16:creationId xmlns:a16="http://schemas.microsoft.com/office/drawing/2014/main" id="{742226DB-497C-49F5-B244-A06F92B322A2}"/>
            </a:ext>
          </a:extLst>
        </xdr:cNvPr>
        <xdr:cNvGrpSpPr/>
      </xdr:nvGrpSpPr>
      <xdr:grpSpPr>
        <a:xfrm>
          <a:off x="584540" y="5242228"/>
          <a:ext cx="5073310" cy="364389"/>
          <a:chOff x="584540" y="5613703"/>
          <a:chExt cx="5073310" cy="364389"/>
        </a:xfrm>
      </xdr:grpSpPr>
      <xdr:sp macro="" textlink="">
        <xdr:nvSpPr>
          <xdr:cNvPr id="37" name="Passaggio" descr="Formazione gratuita su Excel disponibile online, con collegamento ipertestuale al Web&#10;">
            <a:hlinkClick xmlns:r="http://schemas.openxmlformats.org/officeDocument/2006/relationships" r:id="rId5" tooltip="Seleziona per ottenere informazioni sulle risorse di formazione gratuita su Excel sul Web"/>
            <a:extLst>
              <a:ext uri="{FF2B5EF4-FFF2-40B4-BE49-F238E27FC236}">
                <a16:creationId xmlns:a16="http://schemas.microsoft.com/office/drawing/2014/main" id="{F83437F7-466E-4778-8A80-A19AB367662B}"/>
              </a:ext>
            </a:extLst>
          </xdr:cNvPr>
          <xdr:cNvSpPr txBox="1"/>
        </xdr:nvSpPr>
        <xdr:spPr>
          <a:xfrm>
            <a:off x="1049724" y="5636232"/>
            <a:ext cx="46081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38"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276225</xdr:colOff>
      <xdr:row>25</xdr:row>
      <xdr:rowOff>96710</xdr:rowOff>
    </xdr:to>
    <xdr:grpSp>
      <xdr:nvGrpSpPr>
        <xdr:cNvPr id="39" name="INFORMAZIONI UTILI" descr="INFORMAZIONI UTILI&#10;&#10;">
          <a:extLst>
            <a:ext uri="{FF2B5EF4-FFF2-40B4-BE49-F238E27FC236}">
              <a16:creationId xmlns:a16="http://schemas.microsoft.com/office/drawing/2014/main" id="{1617705E-A557-408B-AB54-5DBE8291A7F8}"/>
            </a:ext>
          </a:extLst>
        </xdr:cNvPr>
        <xdr:cNvGrpSpPr/>
      </xdr:nvGrpSpPr>
      <xdr:grpSpPr>
        <a:xfrm>
          <a:off x="7134225" y="3581400"/>
          <a:ext cx="3209925" cy="1849310"/>
          <a:chOff x="6778625" y="15514765"/>
          <a:chExt cx="3312054" cy="1776285"/>
        </a:xfrm>
      </xdr:grpSpPr>
      <xdr:sp macro="" textlink="">
        <xdr:nvSpPr>
          <xdr:cNvPr id="40" name="Passaggio"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È possibile usare </a:t>
            </a:r>
            <a:r>
              <a:rPr lang="it" sz="1100" b="1" i="0" kern="1200" baseline="0">
                <a:solidFill>
                  <a:schemeClr val="dk1"/>
                </a:solidFill>
                <a:effectLst/>
                <a:latin typeface="+mn-lt"/>
                <a:ea typeface="+mn-ea"/>
                <a:cs typeface="+mn-cs"/>
              </a:rPr>
              <a:t>MIN</a:t>
            </a:r>
            <a:r>
              <a:rPr lang="it" sz="1100" b="0" i="0" kern="1200" baseline="0">
                <a:solidFill>
                  <a:schemeClr val="dk1"/>
                </a:solidFill>
                <a:effectLst/>
                <a:latin typeface="+mn-lt"/>
                <a:ea typeface="+mn-ea"/>
                <a:cs typeface="+mn-cs"/>
              </a:rPr>
              <a:t> o </a:t>
            </a:r>
            <a:r>
              <a:rPr lang="it" sz="1100" b="1" i="0" kern="1200" baseline="0">
                <a:solidFill>
                  <a:schemeClr val="dk1"/>
                </a:solidFill>
                <a:effectLst/>
                <a:latin typeface="+mn-lt"/>
                <a:ea typeface="+mn-ea"/>
                <a:cs typeface="+mn-cs"/>
              </a:rPr>
              <a:t>MAX</a:t>
            </a:r>
            <a:r>
              <a:rPr lang="it" sz="1100" b="0" i="0" kern="1200" baseline="0">
                <a:solidFill>
                  <a:schemeClr val="dk1"/>
                </a:solidFill>
                <a:effectLst/>
                <a:latin typeface="+mn-lt"/>
                <a:ea typeface="+mn-ea"/>
                <a:cs typeface="+mn-cs"/>
              </a:rPr>
              <a:t> con più intervalli o valori per visualizzare il maggiore o il minore di tali valori, ad esempio =MIN(A1:A10;B1:B10) oppure =MAX(A1:A10;B1), dove B1 contiene un valore soglia, come 10, nel qual caso la formula non restituirebbe mai un risultato inferiore a 10.</a:t>
            </a:r>
            <a:endParaRPr lang="en-US" sz="1100">
              <a:effectLst/>
              <a:latin typeface="+mn-lt"/>
            </a:endParaRPr>
          </a:p>
        </xdr:txBody>
      </xdr:sp>
      <xdr:pic>
        <xdr:nvPicPr>
          <xdr:cNvPr id="41" name="Elemento grafico 147" descr="Occhiali">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igura a mano libera: forma 41" descr="Freccia">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absoluteAnchor>
    <xdr:pos x="561975" y="3267075"/>
    <xdr:ext cx="1275170" cy="335449"/>
    <xdr:sp macro="" textlink="">
      <xdr:nvSpPr>
        <xdr:cNvPr id="43" name="PulsanteIndietro" descr="Torna al foglio precedente">
          <a:hlinkClick xmlns:r="http://schemas.openxmlformats.org/officeDocument/2006/relationships" r:id="rId8" tooltip="Fai clic qui per tornare al foglio precedente"/>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absoluteAnchor>
  <xdr:absoluteAnchor>
    <xdr:pos x="4484736" y="3267075"/>
    <xdr:ext cx="1275170" cy="335449"/>
    <xdr:sp macro="" textlink="">
      <xdr:nvSpPr>
        <xdr:cNvPr id="44" name="PulsanteAvanti" descr="Passa al foglio successivo">
          <a:hlinkClick xmlns:r="http://schemas.openxmlformats.org/officeDocument/2006/relationships" r:id="rId9" tooltip="Fai clic qui per passare al foglio successivo"/>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Linea inferiore" descr="Linea decorativa">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95251</xdr:colOff>
      <xdr:row>11</xdr:row>
      <xdr:rowOff>122571</xdr:rowOff>
    </xdr:from>
    <xdr:to>
      <xdr:col>5</xdr:col>
      <xdr:colOff>133351</xdr:colOff>
      <xdr:row>20</xdr:row>
      <xdr:rowOff>104777</xdr:rowOff>
    </xdr:to>
    <xdr:grpSp>
      <xdr:nvGrpSpPr>
        <xdr:cNvPr id="110" name="INFORMAZIONI UTILI"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467476" y="3084846"/>
          <a:ext cx="3638550" cy="1706231"/>
          <a:chOff x="6778625" y="15449520"/>
          <a:chExt cx="3468494" cy="1638856"/>
        </a:xfrm>
      </xdr:grpSpPr>
      <xdr:sp macro="" textlink="">
        <xdr:nvSpPr>
          <xdr:cNvPr id="111" name="Passaggio"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204161" cy="142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Excel mantiene le date e le ore in base al numero di giorni a partire dal 1 gennaio 1900. Le ore vengono mantenute in parti frazionarie della giornata in base ai minuti. Quindi, 01/01/2017 12:30 in realtà è memorizzata come 42736,5208. Se la data o l'ora viene visualizzata sotto forma di numeri di questo tipo, premi </a:t>
            </a:r>
            <a:r>
              <a:rPr lang="it" sz="1100" b="1" i="0" kern="1200" baseline="0">
                <a:solidFill>
                  <a:schemeClr val="dk1"/>
                </a:solidFill>
                <a:effectLst/>
                <a:latin typeface="+mn-lt"/>
                <a:ea typeface="+mn-ea"/>
                <a:cs typeface="+mn-cs"/>
              </a:rPr>
              <a:t>CTRL+1</a:t>
            </a:r>
            <a:r>
              <a:rPr lang="it" sz="1100" b="0" i="0" kern="1200" baseline="0">
                <a:solidFill>
                  <a:schemeClr val="dk1"/>
                </a:solidFill>
                <a:effectLst/>
                <a:latin typeface="+mn-lt"/>
                <a:ea typeface="+mn-ea"/>
                <a:cs typeface="+mn-cs"/>
              </a:rPr>
              <a:t> &gt; </a:t>
            </a:r>
            <a:r>
              <a:rPr lang="it" sz="1100" b="1" i="0" kern="1200" baseline="0">
                <a:solidFill>
                  <a:schemeClr val="dk1"/>
                </a:solidFill>
                <a:effectLst/>
                <a:latin typeface="+mn-lt"/>
                <a:ea typeface="+mn-ea"/>
                <a:cs typeface="+mn-cs"/>
              </a:rPr>
              <a:t>Numero</a:t>
            </a:r>
            <a:r>
              <a:rPr lang="it" sz="1100" b="0" i="0" kern="1200" baseline="0">
                <a:solidFill>
                  <a:schemeClr val="dk1"/>
                </a:solidFill>
                <a:effectLst/>
                <a:latin typeface="+mn-lt"/>
                <a:ea typeface="+mn-ea"/>
                <a:cs typeface="+mn-cs"/>
              </a:rPr>
              <a:t> e seleziona un formato </a:t>
            </a:r>
            <a:r>
              <a:rPr lang="it" sz="1100" b="1" i="0" kern="1200" baseline="0">
                <a:solidFill>
                  <a:schemeClr val="dk1"/>
                </a:solidFill>
                <a:effectLst/>
                <a:latin typeface="+mn-lt"/>
                <a:ea typeface="+mn-ea"/>
                <a:cs typeface="+mn-cs"/>
              </a:rPr>
              <a:t>Data </a:t>
            </a:r>
            <a:r>
              <a:rPr lang="it" sz="1100" b="0" i="0" kern="1200" baseline="0">
                <a:solidFill>
                  <a:schemeClr val="dk1"/>
                </a:solidFill>
                <a:effectLst/>
                <a:latin typeface="+mn-lt"/>
                <a:ea typeface="+mn-ea"/>
                <a:cs typeface="+mn-cs"/>
              </a:rPr>
              <a:t>o </a:t>
            </a:r>
            <a:r>
              <a:rPr lang="it" sz="1100" b="1" i="0" kern="1200" baseline="0">
                <a:solidFill>
                  <a:schemeClr val="dk1"/>
                </a:solidFill>
                <a:effectLst/>
                <a:latin typeface="+mn-lt"/>
                <a:ea typeface="+mn-ea"/>
                <a:cs typeface="+mn-cs"/>
              </a:rPr>
              <a:t>Ora</a:t>
            </a:r>
            <a:r>
              <a:rPr lang="it" sz="1100" b="0" i="0" kern="1200" baseline="0">
                <a:solidFill>
                  <a:schemeClr val="dk1"/>
                </a:solidFill>
                <a:effectLst/>
                <a:latin typeface="+mn-lt"/>
                <a:ea typeface="+mn-ea"/>
                <a:cs typeface="+mn-cs"/>
              </a:rPr>
              <a:t>. </a:t>
            </a:r>
            <a:endParaRPr lang="en-US" sz="1100">
              <a:effectLst/>
              <a:latin typeface="+mn-lt"/>
            </a:endParaRPr>
          </a:p>
        </xdr:txBody>
      </xdr:sp>
      <xdr:pic>
        <xdr:nvPicPr>
          <xdr:cNvPr id="112" name="Elemento grafico 147" descr="Occhiali">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igura a mano libera: forma 112" descr="Freccia">
            <a:extLst>
              <a:ext uri="{FF2B5EF4-FFF2-40B4-BE49-F238E27FC236}">
                <a16:creationId xmlns:a16="http://schemas.microsoft.com/office/drawing/2014/main" id="{70DF2B70-E9B4-4B83-9810-DBBCC80FDC11}"/>
              </a:ext>
            </a:extLst>
          </xdr:cNvPr>
          <xdr:cNvSpPr/>
        </xdr:nvSpPr>
        <xdr:spPr>
          <a:xfrm rot="5774257" flipV="1">
            <a:off x="8527244" y="15344818"/>
            <a:ext cx="284005" cy="49340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352424</xdr:rowOff>
    </xdr:from>
    <xdr:to>
      <xdr:col>1</xdr:col>
      <xdr:colOff>5229225</xdr:colOff>
      <xdr:row>19</xdr:row>
      <xdr:rowOff>38099</xdr:rowOff>
    </xdr:to>
    <xdr:grpSp>
      <xdr:nvGrpSpPr>
        <xdr:cNvPr id="2" name="Gruppo 1">
          <a:extLst>
            <a:ext uri="{FF2B5EF4-FFF2-40B4-BE49-F238E27FC236}">
              <a16:creationId xmlns:a16="http://schemas.microsoft.com/office/drawing/2014/main" id="{9EC07B18-6CCC-4D21-8D16-EAC636990ABB}"/>
            </a:ext>
          </a:extLst>
        </xdr:cNvPr>
        <xdr:cNvGrpSpPr/>
      </xdr:nvGrpSpPr>
      <xdr:grpSpPr>
        <a:xfrm>
          <a:off x="342900" y="352424"/>
          <a:ext cx="5734050" cy="4181475"/>
          <a:chOff x="342900" y="352424"/>
          <a:chExt cx="5734050" cy="4191958"/>
        </a:xfrm>
      </xdr:grpSpPr>
      <xdr:sp macro="" textlink="">
        <xdr:nvSpPr>
          <xdr:cNvPr id="88" name="testo_SfondoPresentazione" descr="Sfondo">
            <a:extLst>
              <a:ext uri="{FF2B5EF4-FFF2-40B4-BE49-F238E27FC236}">
                <a16:creationId xmlns:a16="http://schemas.microsoft.com/office/drawing/2014/main" id="{1B9F331C-35CF-445A-B76D-D6E6332E2CF5}"/>
              </a:ext>
            </a:extLst>
          </xdr:cNvPr>
          <xdr:cNvSpPr/>
        </xdr:nvSpPr>
        <xdr:spPr>
          <a:xfrm>
            <a:off x="342900" y="352424"/>
            <a:ext cx="5734050" cy="419195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esto_TitoloPresentazione" descr="Funzioni di data">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Funzioni di data</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esto_LineaPresentazione1" descr="Line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esto_LineaPresentazione2" descr="Linea decorativa">
            <a:extLst>
              <a:ext uri="{FF2B5EF4-FFF2-40B4-BE49-F238E27FC236}">
                <a16:creationId xmlns:a16="http://schemas.microsoft.com/office/drawing/2014/main" id="{A8B37EE1-E313-4FB9-9B34-9B560124860A}"/>
              </a:ext>
            </a:extLst>
          </xdr:cNvPr>
          <xdr:cNvCxnSpPr>
            <a:cxnSpLocks/>
          </xdr:cNvCxnSpPr>
        </xdr:nvCxnSpPr>
        <xdr:spPr>
          <a:xfrm>
            <a:off x="546103" y="43204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esto_IntroPresentazione" descr="Excel può fornire la data corrente, in base alle impostazioni internazionali del computer. È anche possibile sommare e sottrarre le date.&#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può fornire la data corrente, in base alle impostazioni internazionali del computer. È anche possibile sommare e sottrarre le date.</a:t>
            </a:r>
          </a:p>
        </xdr:txBody>
      </xdr:sp>
      <xdr:grpSp>
        <xdr:nvGrpSpPr>
          <xdr:cNvPr id="105" name="gruppo_Passaggio">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esto_Passaggio" descr="Osserviamo la funzione OGGI, che visualizza la data corrente. Si tratta di funzioni attive, o volatili, per cui se la cartella di lavoro viene aperta domani, sarà visualizzata la data di domani. Immetti =OGGI() nella cell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Osserviamo 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OGGI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che visualizza la data corrente. Si tratta di funzioni attive, o volatili, per cui se la cartella di lavoro viene aperta domani, sarà visualizzata la data di domani.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=OGGI()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 cella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forma_Passaggio"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114" name="gruppo_Passaggio" descr="Sottrarre date: immetti il tuo prossimo compleanno nel formato GG/MM/AA e osserva come Excel ti indica il numero di giorni rimanenti usando =D7-D6.&#10;">
            <a:extLst>
              <a:ext uri="{FF2B5EF4-FFF2-40B4-BE49-F238E27FC236}">
                <a16:creationId xmlns:a16="http://schemas.microsoft.com/office/drawing/2014/main" id="{8949AC7E-881F-4686-B2D3-0D3D90D9B1DC}"/>
              </a:ext>
            </a:extLst>
          </xdr:cNvPr>
          <xdr:cNvGrpSpPr/>
        </xdr:nvGrpSpPr>
        <xdr:grpSpPr>
          <a:xfrm>
            <a:off x="561975" y="2409825"/>
            <a:ext cx="5229225" cy="778615"/>
            <a:chOff x="609600" y="7810500"/>
            <a:chExt cx="4977697" cy="754507"/>
          </a:xfrm>
        </xdr:grpSpPr>
        <xdr:sp macro="" textlink="">
          <xdr:nvSpPr>
            <xdr:cNvPr id="115" name="testo_Passaggio" descr="Sottrarre date: immetti il tuo prossimo compleanno nel formato GG/MM/AA nella cella D7 e osserva come Excel ti indica il numero di giorni rimanenti usando =D7-D6 nella cella D8.&#10;&#10;">
              <a:extLst>
                <a:ext uri="{FF2B5EF4-FFF2-40B4-BE49-F238E27FC236}">
                  <a16:creationId xmlns:a16="http://schemas.microsoft.com/office/drawing/2014/main" id="{674AF6D9-AA9C-4D64-BAE7-B4CD50116B71}"/>
                </a:ext>
              </a:extLst>
            </xdr:cNvPr>
            <xdr:cNvSpPr txBox="1"/>
          </xdr:nvSpPr>
          <xdr:spPr>
            <a:xfrm>
              <a:off x="1017295" y="7852458"/>
              <a:ext cx="4570002" cy="712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Sottrarre date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immetti il tuo prossimo compleanno nel formato GG/MM/AA nella cella D7 e osserva come Excel ti indica il numero di giorni rimanenti usando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 cella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forma_Passaggio"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117" name="gruppo_Passaggio">
            <a:extLst>
              <a:ext uri="{FF2B5EF4-FFF2-40B4-BE49-F238E27FC236}">
                <a16:creationId xmlns:a16="http://schemas.microsoft.com/office/drawing/2014/main" id="{8475192F-E42A-4700-8E84-BC6112DACD7C}"/>
              </a:ext>
            </a:extLst>
          </xdr:cNvPr>
          <xdr:cNvGrpSpPr/>
        </xdr:nvGrpSpPr>
        <xdr:grpSpPr>
          <a:xfrm>
            <a:off x="561977" y="3210400"/>
            <a:ext cx="5229223" cy="1152552"/>
            <a:chOff x="627640" y="7998480"/>
            <a:chExt cx="4951723" cy="1134429"/>
          </a:xfrm>
        </xdr:grpSpPr>
        <xdr:sp macro="" textlink="">
          <xdr:nvSpPr>
            <xdr:cNvPr id="118" name="testo_Passaggio" descr="Sommare date: supponiamo di voler sapere la data di scadenza di una bolletta o quando devi restituire un libro alla biblioteca. Per scoprirlo, puoi aggiungere giorni a una data. Nella cella D10 immetti un numero casuale di giorni. Nella cella D11 abbiamo sommato =D6+D10 per calcolare la data di scadenza a partire da oggi.&#10;&#10;">
              <a:extLst>
                <a:ext uri="{FF2B5EF4-FFF2-40B4-BE49-F238E27FC236}">
                  <a16:creationId xmlns:a16="http://schemas.microsoft.com/office/drawing/2014/main" id="{37BB0272-2987-4A11-B2B1-9F0CA7972BC1}"/>
                </a:ext>
              </a:extLst>
            </xdr:cNvPr>
            <xdr:cNvSpPr txBox="1"/>
          </xdr:nvSpPr>
          <xdr:spPr>
            <a:xfrm>
              <a:off x="1017295" y="8040438"/>
              <a:ext cx="4562068" cy="109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Sommare date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supponiamo di voler sapere la data di scadenza di una bolletta o quando devi restituire un libro alla biblioteca. Per scoprirlo, puoi aggiungere giorni a una data. Nella cella D10 immetti un numero casuale di giorni. Nella cella D11 abbiamo sommato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calcolare la data di scadenza a partire da oggi.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forma_Passaggio" descr="3">
              <a:extLst>
                <a:ext uri="{FF2B5EF4-FFF2-40B4-BE49-F238E27FC236}">
                  <a16:creationId xmlns:a16="http://schemas.microsoft.com/office/drawing/2014/main" id="{824C0607-47BE-4C56-BBB4-6FA6522CE93B}"/>
                </a:ext>
              </a:extLst>
            </xdr:cNvPr>
            <xdr:cNvSpPr/>
          </xdr:nvSpPr>
          <xdr:spPr>
            <a:xfrm>
              <a:off x="627640" y="799848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142876</xdr:rowOff>
    </xdr:from>
    <xdr:to>
      <xdr:col>1</xdr:col>
      <xdr:colOff>5229225</xdr:colOff>
      <xdr:row>63</xdr:row>
      <xdr:rowOff>95253</xdr:rowOff>
    </xdr:to>
    <xdr:grpSp>
      <xdr:nvGrpSpPr>
        <xdr:cNvPr id="3" name="Gruppo 2">
          <a:extLst>
            <a:ext uri="{FF2B5EF4-FFF2-40B4-BE49-F238E27FC236}">
              <a16:creationId xmlns:a16="http://schemas.microsoft.com/office/drawing/2014/main" id="{1795FAE7-51BD-4A4A-B2DF-46B6749784D2}"/>
            </a:ext>
          </a:extLst>
        </xdr:cNvPr>
        <xdr:cNvGrpSpPr/>
      </xdr:nvGrpSpPr>
      <xdr:grpSpPr>
        <a:xfrm>
          <a:off x="342900" y="4638676"/>
          <a:ext cx="5734050" cy="8372477"/>
          <a:chOff x="342900" y="4160005"/>
          <a:chExt cx="5734050" cy="8608875"/>
        </a:xfrm>
      </xdr:grpSpPr>
      <xdr:grpSp>
        <xdr:nvGrpSpPr>
          <xdr:cNvPr id="120" name="Gruppo 119">
            <a:extLst>
              <a:ext uri="{FF2B5EF4-FFF2-40B4-BE49-F238E27FC236}">
                <a16:creationId xmlns:a16="http://schemas.microsoft.com/office/drawing/2014/main" id="{30906B4C-C81D-469A-8247-06F91D944EB2}"/>
              </a:ext>
            </a:extLst>
          </xdr:cNvPr>
          <xdr:cNvGrpSpPr/>
        </xdr:nvGrpSpPr>
        <xdr:grpSpPr>
          <a:xfrm>
            <a:off x="342900" y="4160005"/>
            <a:ext cx="5734050" cy="8608875"/>
            <a:chOff x="352425" y="4506536"/>
            <a:chExt cx="5734050" cy="8254275"/>
          </a:xfrm>
        </xdr:grpSpPr>
        <xdr:sp macro="" textlink="">
          <xdr:nvSpPr>
            <xdr:cNvPr id="121" name="testo_SfondoPresentazione" descr="Sfondo">
              <a:extLst>
                <a:ext uri="{FF2B5EF4-FFF2-40B4-BE49-F238E27FC236}">
                  <a16:creationId xmlns:a16="http://schemas.microsoft.com/office/drawing/2014/main" id="{013EE55B-07EC-4D50-A659-7ADD2D0198D2}"/>
                </a:ext>
              </a:extLst>
            </xdr:cNvPr>
            <xdr:cNvSpPr/>
          </xdr:nvSpPr>
          <xdr:spPr>
            <a:xfrm>
              <a:off x="352425" y="4506536"/>
              <a:ext cx="5734050" cy="82542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esto_TitoloPresentazione" descr="Funzioni di ora">
              <a:extLst>
                <a:ext uri="{FF2B5EF4-FFF2-40B4-BE49-F238E27FC236}">
                  <a16:creationId xmlns:a16="http://schemas.microsoft.com/office/drawing/2014/main" id="{E209722A-2C8C-4791-B9C1-5101AA32AB0A}"/>
                </a:ext>
              </a:extLst>
            </xdr:cNvPr>
            <xdr:cNvSpPr txBox="1"/>
          </xdr:nvSpPr>
          <xdr:spPr>
            <a:xfrm>
              <a:off x="589309" y="4578375"/>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Funzioni di ora</a:t>
              </a:r>
            </a:p>
          </xdr:txBody>
        </xdr:sp>
        <xdr:cxnSp macro="">
          <xdr:nvCxnSpPr>
            <xdr:cNvPr id="123" name="testo_LineaPresentazione1" descr="Linea decorativa">
              <a:extLst>
                <a:ext uri="{FF2B5EF4-FFF2-40B4-BE49-F238E27FC236}">
                  <a16:creationId xmlns:a16="http://schemas.microsoft.com/office/drawing/2014/main" id="{75A87590-4FA0-4D28-B7A3-E1F7CCD88B3B}"/>
                </a:ext>
              </a:extLst>
            </xdr:cNvPr>
            <xdr:cNvCxnSpPr>
              <a:cxnSpLocks/>
            </xdr:cNvCxnSpPr>
          </xdr:nvCxnSpPr>
          <xdr:spPr>
            <a:xfrm>
              <a:off x="589309" y="5149876"/>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esto_LineaPresentazione2" descr="Linea decorativa">
              <a:extLst>
                <a:ext uri="{FF2B5EF4-FFF2-40B4-BE49-F238E27FC236}">
                  <a16:creationId xmlns:a16="http://schemas.microsoft.com/office/drawing/2014/main" id="{A703583B-6374-4690-B8BC-8D6A61F4DB52}"/>
                </a:ext>
              </a:extLst>
            </xdr:cNvPr>
            <xdr:cNvCxnSpPr>
              <a:cxnSpLocks/>
            </xdr:cNvCxnSpPr>
          </xdr:nvCxnSpPr>
          <xdr:spPr>
            <a:xfrm>
              <a:off x="589309" y="12111017"/>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esto_IntroPresentazione" descr="Excel può fornire l'ora corrente, in base alle impostazioni internazionali del computer. È anche possibile sommare e sottrarre le ore. Ad esempio, può essere necessario tenere traccia del numero di ore lavorate da un dipendente ogni settimana e calcolare la retribuzione e lo straordinario.&#10;&#10;">
              <a:extLst>
                <a:ext uri="{FF2B5EF4-FFF2-40B4-BE49-F238E27FC236}">
                  <a16:creationId xmlns:a16="http://schemas.microsoft.com/office/drawing/2014/main" id="{D8BC11B9-1B82-45F8-A69B-BA51910C6977}"/>
                </a:ext>
              </a:extLst>
            </xdr:cNvPr>
            <xdr:cNvSpPr txBox="1"/>
          </xdr:nvSpPr>
          <xdr:spPr>
            <a:xfrm>
              <a:off x="586111" y="5163872"/>
              <a:ext cx="5222183" cy="948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può fornire l'ora corrente, in base alle impostazioni internazionali del computer. È anche possibile sommare e sottrarre le ore. Ad esempio, può essere necessario tenere traccia del numero di ore lavorate da un dipendente ogni settimana e calcolare la retribuzione e lo straordinario.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po 125">
              <a:extLst>
                <a:ext uri="{FF2B5EF4-FFF2-40B4-BE49-F238E27FC236}">
                  <a16:creationId xmlns:a16="http://schemas.microsoft.com/office/drawing/2014/main" id="{51E7C080-AEB7-4E6C-8D70-3BBDC2303676}"/>
                </a:ext>
              </a:extLst>
            </xdr:cNvPr>
            <xdr:cNvGrpSpPr/>
          </xdr:nvGrpSpPr>
          <xdr:grpSpPr>
            <a:xfrm>
              <a:off x="581025" y="6096000"/>
              <a:ext cx="5206583" cy="5904427"/>
              <a:chOff x="7200900" y="1143000"/>
              <a:chExt cx="5206583" cy="5904427"/>
            </a:xfrm>
          </xdr:grpSpPr>
          <xdr:grpSp>
            <xdr:nvGrpSpPr>
              <xdr:cNvPr id="127" name="gruppo_Passaggio">
                <a:extLst>
                  <a:ext uri="{FF2B5EF4-FFF2-40B4-BE49-F238E27FC236}">
                    <a16:creationId xmlns:a16="http://schemas.microsoft.com/office/drawing/2014/main" id="{AAE10329-58E6-4043-B19B-2070B24369C8}"/>
                  </a:ext>
                </a:extLst>
              </xdr:cNvPr>
              <xdr:cNvGrpSpPr/>
            </xdr:nvGrpSpPr>
            <xdr:grpSpPr>
              <a:xfrm>
                <a:off x="7200900" y="1143000"/>
                <a:ext cx="5206583" cy="720603"/>
                <a:chOff x="495420" y="7810500"/>
                <a:chExt cx="5201275" cy="720603"/>
              </a:xfrm>
            </xdr:grpSpPr>
            <xdr:sp macro="" textlink="">
              <xdr:nvSpPr>
                <xdr:cNvPr id="149" name="testo_Passaggio" descr="Nella cella D28 immetti =ADESSO(), che visualizza l'ora corrente e viene aggiornata ogni volta che Excel la calcola. Per cambiare il formato dell'ora, scegli CTRL+1 &gt; Numero &gt; Ora e seleziona il formato che preferisci.&#10;&#10;&#10;&#10;">
                  <a:extLst>
                    <a:ext uri="{FF2B5EF4-FFF2-40B4-BE49-F238E27FC236}">
                      <a16:creationId xmlns:a16="http://schemas.microsoft.com/office/drawing/2014/main" id="{E9EDD045-804A-43D1-9571-BDF7D36C6FD0}"/>
                    </a:ext>
                  </a:extLst>
                </xdr:cNvPr>
                <xdr:cNvSpPr txBox="1"/>
              </xdr:nvSpPr>
              <xdr:spPr>
                <a:xfrm>
                  <a:off x="918156" y="7852457"/>
                  <a:ext cx="4778539" cy="678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D28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=ADESSO()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che visualizza l'ora corrente e viene aggiornata ogni volta che Excel la calcola. Per cambiare il formato dell'ora, scegli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Numero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seleziona il formato che preferisci.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forma_Passaggio"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128" name="gruppo_Passaggio">
                <a:extLst>
                  <a:ext uri="{FF2B5EF4-FFF2-40B4-BE49-F238E27FC236}">
                    <a16:creationId xmlns:a16="http://schemas.microsoft.com/office/drawing/2014/main" id="{FCFD70FD-C355-4B74-9752-B828C322CD76}"/>
                  </a:ext>
                </a:extLst>
              </xdr:cNvPr>
              <xdr:cNvGrpSpPr/>
            </xdr:nvGrpSpPr>
            <xdr:grpSpPr>
              <a:xfrm>
                <a:off x="7200900" y="1844651"/>
                <a:ext cx="5159775" cy="1249116"/>
                <a:chOff x="525612" y="7419975"/>
                <a:chExt cx="5511381" cy="1195615"/>
              </a:xfrm>
            </xdr:grpSpPr>
            <xdr:sp macro="" textlink="">
              <xdr:nvSpPr>
                <xdr:cNvPr id="147" name="testo_Passaggio" descr="Sommare le ore di diversi orari: nella cella D36 abbiamo immesso =((D35-D32)-(D34-D33))*24, che calcola le ore di inizio e fine di un dipendente e quindi sottrae il tempo trascorso a pranzo. La parte *24 alla fine della formula converte in ore la parte frazionaria della giornata usata da Excel. Sarà però necessario formattare la cella come Numero. A questo scopo, passa a Home &gt; Formato &gt; Celle (CTRL+1) &gt; Numero &gt; Numero &gt; 2 decimali.&#10;&#10;&#10;">
                  <a:extLst>
                    <a:ext uri="{FF2B5EF4-FFF2-40B4-BE49-F238E27FC236}">
                      <a16:creationId xmlns:a16="http://schemas.microsoft.com/office/drawing/2014/main" id="{0EFBDF0F-AC77-476D-A83B-91831148AC0B}"/>
                    </a:ext>
                  </a:extLst>
                </xdr:cNvPr>
                <xdr:cNvSpPr txBox="1"/>
              </xdr:nvSpPr>
              <xdr:spPr>
                <a:xfrm>
                  <a:off x="977615" y="7459921"/>
                  <a:ext cx="5059378" cy="1155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Sommare le ore di diversi orari</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 cella D36 abbiamo immesso </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che calcola le ore di inizio e fine di un dipendente e quindi sottrae il tempo trascorso a pranzo. La parte *24 alla fine della formula converte in ore la parte frazionaria della giornata usata da Excel. Sarà però necessario formattare la cella come Numero. A questo scopo, passa a </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Formato celle </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Numero</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Numero</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forma_Passaggio"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129" name="gruppo_Passaggio">
                <a:extLst>
                  <a:ext uri="{FF2B5EF4-FFF2-40B4-BE49-F238E27FC236}">
                    <a16:creationId xmlns:a16="http://schemas.microsoft.com/office/drawing/2014/main" id="{37BDA65B-35DA-46DF-B41B-4F13939916CE}"/>
                  </a:ext>
                </a:extLst>
              </xdr:cNvPr>
              <xdr:cNvGrpSpPr/>
            </xdr:nvGrpSpPr>
            <xdr:grpSpPr>
              <a:xfrm>
                <a:off x="7200900" y="3157543"/>
                <a:ext cx="5159775" cy="875277"/>
                <a:chOff x="525612" y="7419975"/>
                <a:chExt cx="5511381" cy="837788"/>
              </a:xfrm>
            </xdr:grpSpPr>
            <xdr:sp macro="" textlink="">
              <xdr:nvSpPr>
                <xdr:cNvPr id="145" name="testo_Passaggio" descr="Se questa formula potesse parlare, direbbe: &quot;sottrai Ora uscita da Ora entrata, quindi sottrai le ore Uscita/Rientro pranzo e moltiplica per 24 per convertire il tempo frazionario di Excel in ore&quot; oppure =((Ora entrata - Ora uscita)-(Rientro pranzo - Uscita pranzo))*24.">
                  <a:extLst>
                    <a:ext uri="{FF2B5EF4-FFF2-40B4-BE49-F238E27FC236}">
                      <a16:creationId xmlns:a16="http://schemas.microsoft.com/office/drawing/2014/main" id="{48EA3D5E-AB73-4DC6-A8F8-8EECF1D29572}"/>
                    </a:ext>
                  </a:extLst>
                </xdr:cNvPr>
                <xdr:cNvSpPr txBox="1"/>
              </xdr:nvSpPr>
              <xdr:spPr>
                <a:xfrm>
                  <a:off x="977615" y="7459922"/>
                  <a:ext cx="5059378" cy="79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questa formula potesse parlare, direbbe: "Sottrai Ora uscita da Ora entrata, quindi sottrai le ore Uscita/Rientro pranzo e moltiplica per 24 per convertire il tempo frazionario di Excel in ore" oppure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uscita - Ora entrata)-(Uscita pranzo - Rientro pranzo))*24</a:t>
                  </a:r>
                  <a:r>
                    <a:rPr sz="1100">
                      <a:latin typeface="Segoe UI" panose="020B0502040204020203"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forma_Passaggio"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nvGrpSpPr>
              <xdr:cNvPr id="130" name="Gruppo 129">
                <a:extLst>
                  <a:ext uri="{FF2B5EF4-FFF2-40B4-BE49-F238E27FC236}">
                    <a16:creationId xmlns:a16="http://schemas.microsoft.com/office/drawing/2014/main" id="{DF713144-AD4F-445E-9EBF-373B4699DB59}"/>
                  </a:ext>
                </a:extLst>
              </xdr:cNvPr>
              <xdr:cNvGrpSpPr/>
            </xdr:nvGrpSpPr>
            <xdr:grpSpPr>
              <a:xfrm>
                <a:off x="7858134" y="4075629"/>
                <a:ext cx="4371970" cy="2971798"/>
                <a:chOff x="7777163" y="4118803"/>
                <a:chExt cx="4653382" cy="2819575"/>
              </a:xfrm>
            </xdr:grpSpPr>
            <xdr:sp macro="" textlink="">
              <xdr:nvSpPr>
                <xdr:cNvPr id="131" name="ParentesiGraffaFormulaInferiore">
                  <a:extLst>
                    <a:ext uri="{FF2B5EF4-FFF2-40B4-BE49-F238E27FC236}">
                      <a16:creationId xmlns:a16="http://schemas.microsoft.com/office/drawing/2014/main" id="{A3F3B087-00D2-476D-AC4C-EB3A04318A49}"/>
                    </a:ext>
                  </a:extLst>
                </xdr:cNvPr>
                <xdr:cNvSpPr/>
              </xdr:nvSpPr>
              <xdr:spPr>
                <a:xfrm rot="16200000">
                  <a:off x="8913239" y="522143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ParentesiGraffaFormulaSuperiore">
                  <a:extLst>
                    <a:ext uri="{FF2B5EF4-FFF2-40B4-BE49-F238E27FC236}">
                      <a16:creationId xmlns:a16="http://schemas.microsoft.com/office/drawing/2014/main" id="{7C65B1CB-F7F0-4F37-A997-175F5CFFD7C0}"/>
                    </a:ext>
                  </a:extLst>
                </xdr:cNvPr>
                <xdr:cNvSpPr/>
              </xdr:nvSpPr>
              <xdr:spPr>
                <a:xfrm rot="5400000">
                  <a:off x="11358056" y="456324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ParentesiGraffaFormulaSuperiore">
                  <a:extLst>
                    <a:ext uri="{FF2B5EF4-FFF2-40B4-BE49-F238E27FC236}">
                      <a16:creationId xmlns:a16="http://schemas.microsoft.com/office/drawing/2014/main" id="{CF6D3514-478A-4DBA-A8E4-F612350013B5}"/>
                    </a:ext>
                  </a:extLst>
                </xdr:cNvPr>
                <xdr:cNvSpPr/>
              </xdr:nvSpPr>
              <xdr:spPr>
                <a:xfrm rot="5400000">
                  <a:off x="8247251" y="455023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esto_Formula" descr="=((D35-D32)-(D34-D33))*24&#10;">
                  <a:extLst>
                    <a:ext uri="{FF2B5EF4-FFF2-40B4-BE49-F238E27FC236}">
                      <a16:creationId xmlns:a16="http://schemas.microsoft.com/office/drawing/2014/main" id="{6009CED5-1433-4E1F-B008-D29EAE95FC7A}"/>
                    </a:ext>
                  </a:extLst>
                </xdr:cNvPr>
                <xdr:cNvSpPr txBox="1"/>
              </xdr:nvSpPr>
              <xdr:spPr>
                <a:xfrm>
                  <a:off x="7777163" y="501105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esto_CalloutFormulaSuperiore" descr="Ora uscita&#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409917"/>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Ora uscita</a:t>
                  </a:r>
                </a:p>
              </xdr:txBody>
            </xdr:sp>
            <xdr:sp macro="" textlink="">
              <xdr:nvSpPr>
                <xdr:cNvPr id="136" name="testo_CalloutFormulaSuperiore" descr="*24 per convertire in ore la frazione del giorno usata da Excel&#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11880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*24 per convertire in ore la frazione del giorno usata da Excel</a:t>
                  </a:r>
                </a:p>
              </xdr:txBody>
            </xdr:sp>
            <xdr:sp macro="" textlink="">
              <xdr:nvSpPr>
                <xdr:cNvPr id="137" name="testo_CalloutFormulaInferiore" descr="Ora entrata&#10;">
                  <a:extLst>
                    <a:ext uri="{FF2B5EF4-FFF2-40B4-BE49-F238E27FC236}">
                      <a16:creationId xmlns:a16="http://schemas.microsoft.com/office/drawing/2014/main" id="{5E5338FF-C2B1-4DA0-AE11-AC6DC9A18383}"/>
                    </a:ext>
                  </a:extLst>
                </xdr:cNvPr>
                <xdr:cNvSpPr txBox="1">
                  <a:spLocks noChangeArrowheads="1"/>
                </xdr:cNvSpPr>
              </xdr:nvSpPr>
              <xdr:spPr bwMode="auto">
                <a:xfrm>
                  <a:off x="8649786" y="5572177"/>
                  <a:ext cx="992777"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Ora entrata</a:t>
                  </a:r>
                </a:p>
              </xdr:txBody>
            </xdr:sp>
            <xdr:sp macro="" textlink="">
              <xdr:nvSpPr>
                <xdr:cNvPr id="138" name="ParentesiGraffaFormulaInferiore">
                  <a:extLst>
                    <a:ext uri="{FF2B5EF4-FFF2-40B4-BE49-F238E27FC236}">
                      <a16:creationId xmlns:a16="http://schemas.microsoft.com/office/drawing/2014/main" id="{A4A9F5A5-EF16-4EE5-91AA-7223F0B363A9}"/>
                    </a:ext>
                  </a:extLst>
                </xdr:cNvPr>
                <xdr:cNvSpPr/>
              </xdr:nvSpPr>
              <xdr:spPr>
                <a:xfrm rot="16200000">
                  <a:off x="10541562" y="5235720"/>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ParentesiGraffaFormulaSuperiore">
                  <a:extLst>
                    <a:ext uri="{FF2B5EF4-FFF2-40B4-BE49-F238E27FC236}">
                      <a16:creationId xmlns:a16="http://schemas.microsoft.com/office/drawing/2014/main" id="{E9FAA5E1-CE6E-4068-9309-7BEC7468CAD9}"/>
                    </a:ext>
                  </a:extLst>
                </xdr:cNvPr>
                <xdr:cNvSpPr/>
              </xdr:nvSpPr>
              <xdr:spPr>
                <a:xfrm rot="5400000">
                  <a:off x="9870149" y="4564510"/>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esto_CalloutFormulaSuperiore"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571598" y="4424192"/>
                  <a:ext cx="1084776"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Uscita pranzo</a:t>
                  </a:r>
                  <a:endParaRPr lang="it"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1" name="testo_CalloutFormulaInferiore" descr="Rientro pranzo&#10;&#10;">
                  <a:extLst>
                    <a:ext uri="{FF2B5EF4-FFF2-40B4-BE49-F238E27FC236}">
                      <a16:creationId xmlns:a16="http://schemas.microsoft.com/office/drawing/2014/main" id="{B855D0A5-2977-4D62-AD0B-843A0716AFBA}"/>
                    </a:ext>
                  </a:extLst>
                </xdr:cNvPr>
                <xdr:cNvSpPr txBox="1">
                  <a:spLocks noChangeArrowheads="1"/>
                </xdr:cNvSpPr>
              </xdr:nvSpPr>
              <xdr:spPr bwMode="auto">
                <a:xfrm>
                  <a:off x="10215705" y="5586453"/>
                  <a:ext cx="1180750"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algn="ctr" rtl="0"/>
                  <a:r>
                    <a:rPr lang="it-IT" sz="1100">
                      <a:effectLst/>
                      <a:latin typeface="+mn-lt"/>
                      <a:ea typeface="+mn-ea"/>
                      <a:cs typeface="+mn-cs"/>
                    </a:rPr>
                    <a:t>Rientro pranzo</a:t>
                  </a:r>
                  <a:endParaRPr lang="it-IT">
                    <a:effectLst/>
                  </a:endParaRPr>
                </a:p>
              </xdr:txBody>
            </xdr:sp>
            <xdr:sp macro="" textlink="">
              <xdr:nvSpPr>
                <xdr:cNvPr id="142" name="ParentesiGraffaFormulaInferiore">
                  <a:extLst>
                    <a:ext uri="{FF2B5EF4-FFF2-40B4-BE49-F238E27FC236}">
                      <a16:creationId xmlns:a16="http://schemas.microsoft.com/office/drawing/2014/main" id="{5250274B-2899-460D-B59C-3A1662F7E28C}"/>
                    </a:ext>
                  </a:extLst>
                </xdr:cNvPr>
                <xdr:cNvSpPr/>
              </xdr:nvSpPr>
              <xdr:spPr>
                <a:xfrm rot="16200000">
                  <a:off x="8801209" y="5582421"/>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ParentesiGraffaFormulaInferiore">
                  <a:extLst>
                    <a:ext uri="{FF2B5EF4-FFF2-40B4-BE49-F238E27FC236}">
                      <a16:creationId xmlns:a16="http://schemas.microsoft.com/office/drawing/2014/main" id="{1D36D39A-C164-4F79-A807-42C3A0A9EA22}"/>
                    </a:ext>
                  </a:extLst>
                </xdr:cNvPr>
                <xdr:cNvSpPr/>
              </xdr:nvSpPr>
              <xdr:spPr>
                <a:xfrm rot="16200000">
                  <a:off x="10350838" y="557765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esto_CalloutFormulaInferiore"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348253"/>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Le parentesi interne () fanno sì che Excel calcoli quelle                                   parti della formula separatamente. Le parentesi esterne fanno sì che Excel moltiplichi per 24 </a:t>
                  </a:r>
                  <a:r>
                    <a:rPr lang="it" sz="1100" baseline="0">
                      <a:effectLst/>
                      <a:latin typeface="Calibri" panose="020F0502020204030204" pitchFamily="34" charset="0"/>
                      <a:ea typeface="Calibri" panose="020F0502020204030204" pitchFamily="34" charset="0"/>
                      <a:cs typeface="Times New Roman" panose="02020603050405020304" pitchFamily="18" charset="0"/>
                    </a:rPr>
                    <a:t>il risultato finale interno.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ulsanteIndietro" descr="Torna al foglio precedente">
            <a:hlinkClick xmlns:r="http://schemas.openxmlformats.org/officeDocument/2006/relationships" r:id="rId3" tooltip="Fai clic qui per tornare al foglio precedente"/>
            <a:extLst>
              <a:ext uri="{FF2B5EF4-FFF2-40B4-BE49-F238E27FC236}">
                <a16:creationId xmlns:a16="http://schemas.microsoft.com/office/drawing/2014/main" id="{FCEE4E56-0B89-4F5D-A0A7-90EECC03D116}"/>
              </a:ext>
            </a:extLst>
          </xdr:cNvPr>
          <xdr:cNvSpPr/>
        </xdr:nvSpPr>
        <xdr:spPr>
          <a:xfrm flipH="1">
            <a:off x="609600" y="1225157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sp macro="" textlink="">
        <xdr:nvSpPr>
          <xdr:cNvPr id="152" name="PulsanteAvanti" descr="Passa al foglio successivo">
            <a:hlinkClick xmlns:r="http://schemas.openxmlformats.org/officeDocument/2006/relationships" r:id="rId4" tooltip="Fai clic qui per passare al foglio successivo"/>
            <a:extLst>
              <a:ext uri="{FF2B5EF4-FFF2-40B4-BE49-F238E27FC236}">
                <a16:creationId xmlns:a16="http://schemas.microsoft.com/office/drawing/2014/main" id="{892C894D-1A63-4276-98DF-57872191F092}"/>
              </a:ext>
            </a:extLst>
          </xdr:cNvPr>
          <xdr:cNvSpPr/>
        </xdr:nvSpPr>
        <xdr:spPr>
          <a:xfrm>
            <a:off x="4532361" y="1225157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grpSp>
    <xdr:clientData/>
  </xdr:twoCellAnchor>
  <xdr:twoCellAnchor editAs="absolute">
    <xdr:from>
      <xdr:col>1</xdr:col>
      <xdr:colOff>5486400</xdr:colOff>
      <xdr:row>47</xdr:row>
      <xdr:rowOff>105328</xdr:rowOff>
    </xdr:from>
    <xdr:to>
      <xdr:col>4</xdr:col>
      <xdr:colOff>161925</xdr:colOff>
      <xdr:row>57</xdr:row>
      <xdr:rowOff>28578</xdr:rowOff>
    </xdr:to>
    <xdr:grpSp>
      <xdr:nvGrpSpPr>
        <xdr:cNvPr id="153" name="Gruppo 152">
          <a:extLst>
            <a:ext uri="{FF2B5EF4-FFF2-40B4-BE49-F238E27FC236}">
              <a16:creationId xmlns:a16="http://schemas.microsoft.com/office/drawing/2014/main" id="{5099300F-1CF9-4951-9904-72E39FABE751}"/>
            </a:ext>
          </a:extLst>
        </xdr:cNvPr>
        <xdr:cNvGrpSpPr/>
      </xdr:nvGrpSpPr>
      <xdr:grpSpPr>
        <a:xfrm>
          <a:off x="6334125" y="9973228"/>
          <a:ext cx="3190875" cy="1828250"/>
          <a:chOff x="6391275" y="8320481"/>
          <a:chExt cx="3190875" cy="1652194"/>
        </a:xfrm>
      </xdr:grpSpPr>
      <xdr:sp macro="" textlink="">
        <xdr:nvSpPr>
          <xdr:cNvPr id="154" name="Passaggio"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Si possono usare le scelte rapide da tastiera per immettere date e ore che non cambiano costantemente:</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it-IT" sz="1100" b="0" i="0" kern="1200" baseline="0">
                <a:solidFill>
                  <a:schemeClr val="dk1"/>
                </a:solidFill>
                <a:effectLst/>
                <a:latin typeface="+mn-lt"/>
                <a:ea typeface="+mn-ea"/>
                <a:cs typeface="+mn-cs"/>
              </a:rPr>
              <a:t>Data: </a:t>
            </a:r>
            <a:r>
              <a:rPr lang="it-IT" sz="1100" b="1" i="0" kern="1200" baseline="0">
                <a:solidFill>
                  <a:schemeClr val="dk1"/>
                </a:solidFill>
                <a:effectLst/>
                <a:latin typeface="+mn-lt"/>
                <a:ea typeface="+mn-ea"/>
                <a:cs typeface="+mn-cs"/>
              </a:rPr>
              <a:t>CTRL+ALT+A </a:t>
            </a:r>
          </a:p>
          <a:p>
            <a:pPr algn="ctr" rtl="0" eaLnBrk="1" fontAlgn="auto" latinLnBrk="0" hangingPunct="1"/>
            <a:r>
              <a:rPr lang="it-IT" sz="1100" b="0" i="0" kern="1200" baseline="0">
                <a:solidFill>
                  <a:schemeClr val="dk1"/>
                </a:solidFill>
                <a:effectLst/>
                <a:latin typeface="+mn-lt"/>
                <a:ea typeface="+mn-ea"/>
                <a:cs typeface="+mn-cs"/>
              </a:rPr>
              <a:t>Ora: </a:t>
            </a:r>
            <a:r>
              <a:rPr lang="it-IT" sz="1100" b="1" i="0" kern="1200" baseline="0">
                <a:solidFill>
                  <a:schemeClr val="dk1"/>
                </a:solidFill>
                <a:effectLst/>
                <a:latin typeface="+mn-lt"/>
                <a:ea typeface="+mn-ea"/>
                <a:cs typeface="+mn-cs"/>
              </a:rPr>
              <a:t>CTRL+J</a:t>
            </a:r>
            <a:endParaRPr lang="en-US" sz="1100" b="1">
              <a:effectLst/>
              <a:latin typeface="+mn-lt"/>
            </a:endParaRPr>
          </a:p>
        </xdr:txBody>
      </xdr:sp>
      <xdr:pic>
        <xdr:nvPicPr>
          <xdr:cNvPr id="155" name="Elemento grafico 147" descr="Occhiali">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igura a mano libera: forma 155" descr="Freccia">
            <a:extLst>
              <a:ext uri="{FF2B5EF4-FFF2-40B4-BE49-F238E27FC236}">
                <a16:creationId xmlns:a16="http://schemas.microsoft.com/office/drawing/2014/main" id="{DC28982F-2938-4FB2-83AE-57CF7D95EFD2}"/>
              </a:ext>
            </a:extLst>
          </xdr:cNvPr>
          <xdr:cNvSpPr/>
        </xdr:nvSpPr>
        <xdr:spPr>
          <a:xfrm rot="5737631" flipV="1">
            <a:off x="8008938" y="8142018"/>
            <a:ext cx="544253" cy="901180"/>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64</xdr:row>
      <xdr:rowOff>0</xdr:rowOff>
    </xdr:from>
    <xdr:to>
      <xdr:col>1</xdr:col>
      <xdr:colOff>5228463</xdr:colOff>
      <xdr:row>78</xdr:row>
      <xdr:rowOff>38100</xdr:rowOff>
    </xdr:to>
    <xdr:grpSp>
      <xdr:nvGrpSpPr>
        <xdr:cNvPr id="157" name="Gruppo 156">
          <a:extLst>
            <a:ext uri="{FF2B5EF4-FFF2-40B4-BE49-F238E27FC236}">
              <a16:creationId xmlns:a16="http://schemas.microsoft.com/office/drawing/2014/main" id="{BBCBE502-8234-4D4A-9B27-5CABDDC8BAC3}"/>
            </a:ext>
          </a:extLst>
        </xdr:cNvPr>
        <xdr:cNvGrpSpPr/>
      </xdr:nvGrpSpPr>
      <xdr:grpSpPr>
        <a:xfrm>
          <a:off x="342900" y="13106400"/>
          <a:ext cx="5733288" cy="2705100"/>
          <a:chOff x="352425" y="12715875"/>
          <a:chExt cx="5733288" cy="2476500"/>
        </a:xfrm>
      </xdr:grpSpPr>
      <xdr:sp macro="" textlink="">
        <xdr:nvSpPr>
          <xdr:cNvPr id="158" name="Rettango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Passaggio" descr="Altre informazioni sul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nettore diritto 159" descr="Line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nettore diritto 160" descr="Line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67</xdr:row>
      <xdr:rowOff>168994</xdr:rowOff>
    </xdr:from>
    <xdr:to>
      <xdr:col>1</xdr:col>
      <xdr:colOff>4210050</xdr:colOff>
      <xdr:row>69</xdr:row>
      <xdr:rowOff>147073</xdr:rowOff>
    </xdr:to>
    <xdr:grpSp>
      <xdr:nvGrpSpPr>
        <xdr:cNvPr id="14" name="Gruppo 13">
          <a:extLst>
            <a:ext uri="{FF2B5EF4-FFF2-40B4-BE49-F238E27FC236}">
              <a16:creationId xmlns:a16="http://schemas.microsoft.com/office/drawing/2014/main" id="{C4A695FE-F3AB-4030-A0F4-F10322DAD2D7}"/>
            </a:ext>
          </a:extLst>
        </xdr:cNvPr>
        <xdr:cNvGrpSpPr/>
      </xdr:nvGrpSpPr>
      <xdr:grpSpPr>
        <a:xfrm>
          <a:off x="571931" y="13846894"/>
          <a:ext cx="4485844" cy="359079"/>
          <a:chOff x="571931" y="13599244"/>
          <a:chExt cx="4485844" cy="359079"/>
        </a:xfrm>
      </xdr:grpSpPr>
      <xdr:sp macro="" textlink="">
        <xdr:nvSpPr>
          <xdr:cNvPr id="162" name="Passaggio" descr="Informazioni complete sulla funzione OGGI, con collegamento ipertestuale al Web&#10;&#10;">
            <a:hlinkClick xmlns:r="http://schemas.openxmlformats.org/officeDocument/2006/relationships" r:id="rId5" tooltip="Seleziona per ottenere informazioni complete dal Web sulla funzione OGGI"/>
            <a:extLst>
              <a:ext uri="{FF2B5EF4-FFF2-40B4-BE49-F238E27FC236}">
                <a16:creationId xmlns:a16="http://schemas.microsoft.com/office/drawing/2014/main" id="{F8241A74-09BF-4A60-A53F-A5CCC994B75C}"/>
              </a:ext>
            </a:extLst>
          </xdr:cNvPr>
          <xdr:cNvSpPr txBox="1"/>
        </xdr:nvSpPr>
        <xdr:spPr>
          <a:xfrm>
            <a:off x="1037116" y="13673604"/>
            <a:ext cx="40206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OGGI</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63"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70</xdr:row>
      <xdr:rowOff>13041</xdr:rowOff>
    </xdr:from>
    <xdr:to>
      <xdr:col>1</xdr:col>
      <xdr:colOff>3743325</xdr:colOff>
      <xdr:row>71</xdr:row>
      <xdr:rowOff>186930</xdr:rowOff>
    </xdr:to>
    <xdr:grpSp>
      <xdr:nvGrpSpPr>
        <xdr:cNvPr id="13" name="Gruppo 12">
          <a:extLst>
            <a:ext uri="{FF2B5EF4-FFF2-40B4-BE49-F238E27FC236}">
              <a16:creationId xmlns:a16="http://schemas.microsoft.com/office/drawing/2014/main" id="{E793ECE4-F54A-4632-BABB-CDB76236E886}"/>
            </a:ext>
          </a:extLst>
        </xdr:cNvPr>
        <xdr:cNvGrpSpPr/>
      </xdr:nvGrpSpPr>
      <xdr:grpSpPr>
        <a:xfrm>
          <a:off x="571931" y="14262441"/>
          <a:ext cx="4019119" cy="364389"/>
          <a:chOff x="571931" y="14014791"/>
          <a:chExt cx="4019119" cy="364389"/>
        </a:xfrm>
      </xdr:grpSpPr>
      <xdr:sp macro="" textlink="">
        <xdr:nvSpPr>
          <xdr:cNvPr id="164" name="Passaggio" descr="Informazioni complete sulla funzione ADESSO, con collegamento ipertestuale al Web&#10;">
            <a:hlinkClick xmlns:r="http://schemas.openxmlformats.org/officeDocument/2006/relationships" r:id="rId8" tooltip="Seleziona per ottenere informazioni complete dal Web sulla funzione ADESSO"/>
            <a:extLst>
              <a:ext uri="{FF2B5EF4-FFF2-40B4-BE49-F238E27FC236}">
                <a16:creationId xmlns:a16="http://schemas.microsoft.com/office/drawing/2014/main" id="{99ED5FDC-AE78-4AD5-8FB5-D398732CB7E5}"/>
              </a:ext>
            </a:extLst>
          </xdr:cNvPr>
          <xdr:cNvSpPr txBox="1"/>
        </xdr:nvSpPr>
        <xdr:spPr>
          <a:xfrm>
            <a:off x="1037116" y="14093795"/>
            <a:ext cx="355393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ADESSO</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65"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74</xdr:row>
      <xdr:rowOff>127303</xdr:rowOff>
    </xdr:from>
    <xdr:to>
      <xdr:col>1</xdr:col>
      <xdr:colOff>4229100</xdr:colOff>
      <xdr:row>76</xdr:row>
      <xdr:rowOff>110692</xdr:rowOff>
    </xdr:to>
    <xdr:grpSp>
      <xdr:nvGrpSpPr>
        <xdr:cNvPr id="9" name="Gruppo 8">
          <a:extLst>
            <a:ext uri="{FF2B5EF4-FFF2-40B4-BE49-F238E27FC236}">
              <a16:creationId xmlns:a16="http://schemas.microsoft.com/office/drawing/2014/main" id="{659E6730-AC76-4CC7-A823-D2C618696DAA}"/>
            </a:ext>
          </a:extLst>
        </xdr:cNvPr>
        <xdr:cNvGrpSpPr/>
      </xdr:nvGrpSpPr>
      <xdr:grpSpPr>
        <a:xfrm>
          <a:off x="584540" y="15138703"/>
          <a:ext cx="4492285" cy="364389"/>
          <a:chOff x="584540" y="14891053"/>
          <a:chExt cx="4492285" cy="364389"/>
        </a:xfrm>
      </xdr:grpSpPr>
      <xdr:sp macro="" textlink="">
        <xdr:nvSpPr>
          <xdr:cNvPr id="166" name="Passaggio" descr="Formazione gratuita su Excel disponibile online, con collegamento ipertestuale al Web&#10;">
            <a:hlinkClick xmlns:r="http://schemas.openxmlformats.org/officeDocument/2006/relationships" r:id="rId9" tooltip="Seleziona per ottenere informazioni sulle risorse di formazione gratuita su Excel sul Web"/>
            <a:extLst>
              <a:ext uri="{FF2B5EF4-FFF2-40B4-BE49-F238E27FC236}">
                <a16:creationId xmlns:a16="http://schemas.microsoft.com/office/drawing/2014/main" id="{3AA6BF12-05BC-4A54-8192-040964AEB7FE}"/>
              </a:ext>
            </a:extLst>
          </xdr:cNvPr>
          <xdr:cNvSpPr txBox="1"/>
        </xdr:nvSpPr>
        <xdr:spPr>
          <a:xfrm>
            <a:off x="1049724" y="14913582"/>
            <a:ext cx="40271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67"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72</xdr:row>
      <xdr:rowOff>52898</xdr:rowOff>
    </xdr:from>
    <xdr:to>
      <xdr:col>1</xdr:col>
      <xdr:colOff>4229100</xdr:colOff>
      <xdr:row>74</xdr:row>
      <xdr:rowOff>36287</xdr:rowOff>
    </xdr:to>
    <xdr:grpSp>
      <xdr:nvGrpSpPr>
        <xdr:cNvPr id="12" name="Gruppo 11">
          <a:extLst>
            <a:ext uri="{FF2B5EF4-FFF2-40B4-BE49-F238E27FC236}">
              <a16:creationId xmlns:a16="http://schemas.microsoft.com/office/drawing/2014/main" id="{FF28E0D6-012A-4FA6-9D67-C8B77A5CC9E6}"/>
            </a:ext>
          </a:extLst>
        </xdr:cNvPr>
        <xdr:cNvGrpSpPr/>
      </xdr:nvGrpSpPr>
      <xdr:grpSpPr>
        <a:xfrm>
          <a:off x="581456" y="14683298"/>
          <a:ext cx="4495369" cy="364389"/>
          <a:chOff x="581456" y="14435648"/>
          <a:chExt cx="4495369" cy="364389"/>
        </a:xfrm>
      </xdr:grpSpPr>
      <xdr:sp macro="" textlink="">
        <xdr:nvSpPr>
          <xdr:cNvPr id="168" name="Passaggio" descr="Informazioni complete sulla funzione DATA, con collegamento ipertestuale al Web&#10;">
            <a:hlinkClick xmlns:r="http://schemas.openxmlformats.org/officeDocument/2006/relationships" r:id="rId10" tooltip="Seleziona per ottenere informazioni complete dal Web sulla funzione DATA"/>
            <a:extLst>
              <a:ext uri="{FF2B5EF4-FFF2-40B4-BE49-F238E27FC236}">
                <a16:creationId xmlns:a16="http://schemas.microsoft.com/office/drawing/2014/main" id="{282D96E3-1EC6-421D-A0C9-770266F3958E}"/>
              </a:ext>
            </a:extLst>
          </xdr:cNvPr>
          <xdr:cNvSpPr txBox="1"/>
        </xdr:nvSpPr>
        <xdr:spPr>
          <a:xfrm>
            <a:off x="1046641" y="14492287"/>
            <a:ext cx="40301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69" name="Elemento grafico 22" descr="Freccia">
            <a:hlinkClick xmlns:r="http://schemas.openxmlformats.org/officeDocument/2006/relationships" r:id="rId10" tooltip="Seleziona per ottenere altre informazioni dal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41108</xdr:colOff>
      <xdr:row>6</xdr:row>
      <xdr:rowOff>120354</xdr:rowOff>
    </xdr:from>
    <xdr:to>
      <xdr:col>10</xdr:col>
      <xdr:colOff>240241</xdr:colOff>
      <xdr:row>13</xdr:row>
      <xdr:rowOff>120648</xdr:rowOff>
    </xdr:to>
    <xdr:grpSp>
      <xdr:nvGrpSpPr>
        <xdr:cNvPr id="78" name="DETTAGLIO IMPORTANTE" descr="DETTAGLIO IMPORTANTE&#10;&#10;">
          <a:extLst>
            <a:ext uri="{FF2B5EF4-FFF2-40B4-BE49-F238E27FC236}">
              <a16:creationId xmlns:a16="http://schemas.microsoft.com/office/drawing/2014/main" id="{F03EFBCA-CF45-46A3-8D0C-6B4DC1C4CC33}"/>
            </a:ext>
          </a:extLst>
        </xdr:cNvPr>
        <xdr:cNvGrpSpPr/>
      </xdr:nvGrpSpPr>
      <xdr:grpSpPr>
        <a:xfrm>
          <a:off x="9404183" y="2082504"/>
          <a:ext cx="3961508" cy="1390944"/>
          <a:chOff x="6396316" y="11324814"/>
          <a:chExt cx="4106584" cy="1343436"/>
        </a:xfrm>
      </xdr:grpSpPr>
      <xdr:sp macro="" textlink="">
        <xdr:nvSpPr>
          <xdr:cNvPr id="79" name="Istruzione"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p>
          <a:p>
            <a:pPr rtl="0" eaLnBrk="1" fontAlgn="auto" latinLnBrk="0" hangingPunct="1"/>
            <a:r>
              <a:rPr lang="it" sz="1100" b="0" i="0" kern="1200" baseline="0">
                <a:solidFill>
                  <a:schemeClr val="dk1"/>
                </a:solidFill>
                <a:effectLst/>
                <a:latin typeface="+mn-lt"/>
                <a:ea typeface="+mn-ea"/>
                <a:cs typeface="+mn-cs"/>
              </a:rPr>
              <a:t>Se non vuoi visualizzare un numero negativo perché non hai ancora immesso il tuo compleanno, puoi usare la funzione SE in questo modo: </a:t>
            </a:r>
            <a:r>
              <a:rPr lang="it" sz="1100" b="1" i="0" kern="1200" baseline="0">
                <a:solidFill>
                  <a:schemeClr val="dk1"/>
                </a:solidFill>
                <a:effectLst/>
                <a:latin typeface="+mn-lt"/>
                <a:ea typeface="+mn-ea"/>
                <a:cs typeface="+mn-cs"/>
              </a:rPr>
              <a:t>=SE(D7="";"";D7-D6)</a:t>
            </a:r>
            <a:r>
              <a:rPr lang="it" sz="1100" b="0" i="0" kern="1200" baseline="0">
                <a:solidFill>
                  <a:schemeClr val="dk1"/>
                </a:solidFill>
                <a:effectLst/>
                <a:latin typeface="+mn-lt"/>
                <a:ea typeface="+mn-ea"/>
                <a:cs typeface="+mn-cs"/>
              </a:rPr>
              <a:t>, che indica "SE D7 è uguale a niente, non mostrare niente, altrimenti mostra D7 meno D6".</a:t>
            </a:r>
            <a:endParaRPr lang="en-US" sz="1100">
              <a:effectLst/>
            </a:endParaRPr>
          </a:p>
        </xdr:txBody>
      </xdr:sp>
      <xdr:pic>
        <xdr:nvPicPr>
          <xdr:cNvPr id="80" name="Lente di ingrandimento" descr="Lente di ingrandimento">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Freccia" descr="Frecci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171450</xdr:rowOff>
    </xdr:to>
    <xdr:grpSp>
      <xdr:nvGrpSpPr>
        <xdr:cNvPr id="111" name="Gruppo 110">
          <a:extLst>
            <a:ext uri="{FF2B5EF4-FFF2-40B4-BE49-F238E27FC236}">
              <a16:creationId xmlns:a16="http://schemas.microsoft.com/office/drawing/2014/main" id="{5C38C905-DEF0-45E7-ABEB-10915BE42D13}"/>
            </a:ext>
          </a:extLst>
        </xdr:cNvPr>
        <xdr:cNvGrpSpPr/>
      </xdr:nvGrpSpPr>
      <xdr:grpSpPr>
        <a:xfrm>
          <a:off x="323850" y="8401050"/>
          <a:ext cx="5734050" cy="4676775"/>
          <a:chOff x="323850" y="5019675"/>
          <a:chExt cx="5734050" cy="46767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676775"/>
            <a:chOff x="609600" y="1524000"/>
            <a:chExt cx="5695950" cy="4726004"/>
          </a:xfrm>
        </xdr:grpSpPr>
        <xdr:sp macro="" textlink="">
          <xdr:nvSpPr>
            <xdr:cNvPr id="59" name="testo_SfondoPresentazione" descr="Sfondo">
              <a:extLst>
                <a:ext uri="{FF2B5EF4-FFF2-40B4-BE49-F238E27FC236}">
                  <a16:creationId xmlns:a16="http://schemas.microsoft.com/office/drawing/2014/main" id="{746CE660-670F-48DE-9B5A-8F87BB149114}"/>
                </a:ext>
              </a:extLst>
            </xdr:cNvPr>
            <xdr:cNvSpPr/>
          </xdr:nvSpPr>
          <xdr:spPr>
            <a:xfrm>
              <a:off x="609600" y="1524000"/>
              <a:ext cx="5695950" cy="472600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esto_TitoloPresentazione" descr="Uso di testo e numeri insieme">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Uso di testo e numeri insieme</a:t>
              </a:r>
            </a:p>
          </xdr:txBody>
        </xdr:sp>
        <xdr:cxnSp macro="">
          <xdr:nvCxnSpPr>
            <xdr:cNvPr id="61" name="testo_LineaPresentazione1" descr="Linea decorativa">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esto_LineaPresentazione2" descr="Linea decorativa">
              <a:extLst>
                <a:ext uri="{FF2B5EF4-FFF2-40B4-BE49-F238E27FC236}">
                  <a16:creationId xmlns:a16="http://schemas.microsoft.com/office/drawing/2014/main" id="{A29D6EA9-B97F-4F30-9031-1B1934F6D015}"/>
                </a:ext>
              </a:extLst>
            </xdr:cNvPr>
            <xdr:cNvCxnSpPr>
              <a:cxnSpLocks/>
            </xdr:cNvCxnSpPr>
          </xdr:nvCxnSpPr>
          <xdr:spPr>
            <a:xfrm>
              <a:off x="850887" y="552842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esto_IntroPresentazione"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Ora usiamo il simbolo &amp; per unire testo e numeri, non solo testo e testo.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Osserva le celle C28:D29. Vedi che la data e le ore si trovano in celle separate? Puoi unirle con il simbolo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come vedrai nelle celle C32:C33, ma il risultato non è ideale. Non sapendo come vuoi formattare i numeri, Excel usa il formato più basilare, che in questo caso è la data seriale. Dobbiamo indicare esplicitamente a Excel come formattare la parte numerica della formula, in modo che venga visualizzata come vuoi nella stringa di testo risultante. Per farlo, puoi usare la funzione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TESTO</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un codice di formato.</a:t>
              </a:r>
            </a:p>
          </xdr:txBody>
        </xdr:sp>
      </xdr:grpSp>
      <xdr:grpSp>
        <xdr:nvGrpSpPr>
          <xdr:cNvPr id="64" name="gruppo_Passaggio">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esto_Passaggio" descr="Nella cella C36, immetti =C28&amp;&quot; &quot;&amp;TESTO(D28,&quot;GG/MM/AAAA&quot;). GG/MM/AAAA è il codice di formato italiano per giorno/mese/anno, ad esempio 25/09/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C36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"&amp;TESTO(D28;"GG/MM/AAAA")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GG/MM/AAAA è il codice di formato italiano per giorno/mese/anno, ad esempio 25/09/2017.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forma_Passaggio"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67" name="gruppo_Passaggio">
            <a:extLst>
              <a:ext uri="{FF2B5EF4-FFF2-40B4-BE49-F238E27FC236}">
                <a16:creationId xmlns:a16="http://schemas.microsoft.com/office/drawing/2014/main" id="{400221E8-F2AA-445E-86DD-DDE14B5B3DC8}"/>
              </a:ext>
            </a:extLst>
          </xdr:cNvPr>
          <xdr:cNvGrpSpPr/>
        </xdr:nvGrpSpPr>
        <xdr:grpSpPr>
          <a:xfrm>
            <a:off x="561975" y="8353425"/>
            <a:ext cx="5229626" cy="596207"/>
            <a:chOff x="619063" y="7981950"/>
            <a:chExt cx="5195697" cy="596207"/>
          </a:xfrm>
        </xdr:grpSpPr>
        <xdr:sp macro="" textlink="">
          <xdr:nvSpPr>
            <xdr:cNvPr id="68" name="testo_Passaggio" descr="Nella cella C37, immetti =C29&amp;&quot; &quot;&amp;TESTO(D29,&quot;HH:MM&quot;). HH:MM è il codice di formato italiano per ore:minuti, ad esempio 13:30.&#10;">
              <a:extLst>
                <a:ext uri="{FF2B5EF4-FFF2-40B4-BE49-F238E27FC236}">
                  <a16:creationId xmlns:a16="http://schemas.microsoft.com/office/drawing/2014/main" id="{CEB49487-C445-4B69-9112-51698E7250F2}"/>
                </a:ext>
              </a:extLst>
            </xdr:cNvPr>
            <xdr:cNvSpPr txBox="1"/>
          </xdr:nvSpPr>
          <xdr:spPr>
            <a:xfrm>
              <a:off x="1036221" y="802390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C37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"&amp;TESTO(D29;"H:MM")</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è il codice di formato italiano per ore:minuti,ad esempio 13:30.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forma_Passaggio" descr="2">
              <a:extLst>
                <a:ext uri="{FF2B5EF4-FFF2-40B4-BE49-F238E27FC236}">
                  <a16:creationId xmlns:a16="http://schemas.microsoft.com/office/drawing/2014/main" id="{D170A5A8-EB2A-420E-AFF9-3414BA79F7BF}"/>
                </a:ext>
              </a:extLst>
            </xdr:cNvPr>
            <xdr:cNvSpPr/>
          </xdr:nvSpPr>
          <xdr:spPr>
            <a:xfrm>
              <a:off x="619063" y="79819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45</xdr:row>
      <xdr:rowOff>47625</xdr:rowOff>
    </xdr:from>
    <xdr:to>
      <xdr:col>1</xdr:col>
      <xdr:colOff>970370</xdr:colOff>
      <xdr:row>47</xdr:row>
      <xdr:rowOff>2074</xdr:rowOff>
    </xdr:to>
    <xdr:sp macro="" textlink="">
      <xdr:nvSpPr>
        <xdr:cNvPr id="70" name="PulsanteIndietro" descr="Torna al foglio precedente">
          <a:hlinkClick xmlns:r="http://schemas.openxmlformats.org/officeDocument/2006/relationships" r:id="rId1" tooltip="Fai clic qui per tornare al foglio precedente"/>
          <a:extLst>
            <a:ext uri="{FF2B5EF4-FFF2-40B4-BE49-F238E27FC236}">
              <a16:creationId xmlns:a16="http://schemas.microsoft.com/office/drawing/2014/main" id="{DCA6AC04-F66C-44EC-86B5-CE167DBCCA5F}"/>
            </a:ext>
          </a:extLst>
        </xdr:cNvPr>
        <xdr:cNvSpPr/>
      </xdr:nvSpPr>
      <xdr:spPr>
        <a:xfrm flipH="1">
          <a:off x="542925" y="91916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1</xdr:col>
      <xdr:colOff>3713211</xdr:colOff>
      <xdr:row>45</xdr:row>
      <xdr:rowOff>47625</xdr:rowOff>
    </xdr:from>
    <xdr:to>
      <xdr:col>1</xdr:col>
      <xdr:colOff>4988381</xdr:colOff>
      <xdr:row>47</xdr:row>
      <xdr:rowOff>2074</xdr:rowOff>
    </xdr:to>
    <xdr:sp macro="" textlink="">
      <xdr:nvSpPr>
        <xdr:cNvPr id="71" name="PulsanteAvanti" descr="Passa al foglio successivo">
          <a:hlinkClick xmlns:r="http://schemas.openxmlformats.org/officeDocument/2006/relationships" r:id="rId2" tooltip="Fai clic qui per passare al foglio di lavoro successivo"/>
          <a:extLst>
            <a:ext uri="{FF2B5EF4-FFF2-40B4-BE49-F238E27FC236}">
              <a16:creationId xmlns:a16="http://schemas.microsoft.com/office/drawing/2014/main" id="{625A78A7-925A-4E8E-B9FF-D88914AFC403}"/>
            </a:ext>
          </a:extLst>
        </xdr:cNvPr>
        <xdr:cNvSpPr/>
      </xdr:nvSpPr>
      <xdr:spPr>
        <a:xfrm>
          <a:off x="4560936" y="91916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CURIOSITÀ" descr="CURIOSITÀ">
          <a:extLst>
            <a:ext uri="{FF2B5EF4-FFF2-40B4-BE49-F238E27FC236}">
              <a16:creationId xmlns:a16="http://schemas.microsoft.com/office/drawing/2014/main" id="{D3F697DB-2CF8-4D23-9E17-2125613D49A8}"/>
            </a:ext>
          </a:extLst>
        </xdr:cNvPr>
        <xdr:cNvGrpSpPr/>
      </xdr:nvGrpSpPr>
      <xdr:grpSpPr>
        <a:xfrm>
          <a:off x="6300787" y="8505825"/>
          <a:ext cx="3335866" cy="1715559"/>
          <a:chOff x="8477250" y="8591549"/>
          <a:chExt cx="3314700" cy="1504951"/>
        </a:xfrm>
      </xdr:grpSpPr>
      <xdr:pic>
        <xdr:nvPicPr>
          <xdr:cNvPr id="73" name="Elemento grafico 9" descr="Escursioni">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Passaggio"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CURIOSITÀ</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Se non sai quale codice di formato usare, puoi scegliere </a:t>
            </a:r>
            <a:r>
              <a:rPr lang="it" sz="1100" b="1" kern="0">
                <a:solidFill>
                  <a:schemeClr val="bg2">
                    <a:lumMod val="25000"/>
                  </a:schemeClr>
                </a:solidFill>
                <a:ea typeface="Segoe UI" pitchFamily="34" charset="0"/>
                <a:cs typeface="Segoe UI Light" panose="020B0502040204020203" pitchFamily="34" charset="0"/>
              </a:rPr>
              <a:t>CTRL+1</a:t>
            </a:r>
            <a:r>
              <a:rPr lang="it" sz="1100" kern="0">
                <a:solidFill>
                  <a:schemeClr val="bg2">
                    <a:lumMod val="25000"/>
                  </a:schemeClr>
                </a:solidFill>
                <a:ea typeface="Segoe UI" pitchFamily="34" charset="0"/>
                <a:cs typeface="Segoe UI Light" panose="020B0502040204020203" pitchFamily="34" charset="0"/>
              </a:rPr>
              <a:t> &gt; </a:t>
            </a:r>
            <a:r>
              <a:rPr lang="it" sz="1100" b="1" kern="0">
                <a:solidFill>
                  <a:schemeClr val="bg2">
                    <a:lumMod val="25000"/>
                  </a:schemeClr>
                </a:solidFill>
                <a:ea typeface="Segoe UI" pitchFamily="34" charset="0"/>
                <a:cs typeface="Segoe UI Light" panose="020B0502040204020203" pitchFamily="34" charset="0"/>
              </a:rPr>
              <a:t>Numero</a:t>
            </a:r>
            <a:r>
              <a:rPr lang="it" sz="1100" kern="0">
                <a:solidFill>
                  <a:schemeClr val="bg2">
                    <a:lumMod val="25000"/>
                  </a:schemeClr>
                </a:solidFill>
                <a:ea typeface="Segoe UI" pitchFamily="34" charset="0"/>
                <a:cs typeface="Segoe UI Light" panose="020B0502040204020203" pitchFamily="34" charset="0"/>
              </a:rPr>
              <a:t> per formattare le celle come preferisci.  Seleziona l'opzione </a:t>
            </a:r>
            <a:r>
              <a:rPr lang="it" sz="1100" b="1" kern="0">
                <a:solidFill>
                  <a:schemeClr val="bg2">
                    <a:lumMod val="25000"/>
                  </a:schemeClr>
                </a:solidFill>
                <a:ea typeface="Segoe UI" pitchFamily="34" charset="0"/>
                <a:cs typeface="Segoe UI Light" panose="020B0502040204020203" pitchFamily="34" charset="0"/>
              </a:rPr>
              <a:t>Personalizzato</a:t>
            </a:r>
            <a:r>
              <a:rPr lang="it" sz="1100" b="0" kern="0">
                <a:solidFill>
                  <a:schemeClr val="bg2">
                    <a:lumMod val="25000"/>
                  </a:schemeClr>
                </a:solidFill>
                <a:ea typeface="Segoe UI" pitchFamily="34" charset="0"/>
                <a:cs typeface="Segoe UI Light" panose="020B0502040204020203" pitchFamily="34" charset="0"/>
              </a:rPr>
              <a:t>.</a:t>
            </a:r>
            <a:r>
              <a:rPr lang="it" sz="1100" kern="0">
                <a:solidFill>
                  <a:schemeClr val="bg2">
                    <a:lumMod val="25000"/>
                  </a:schemeClr>
                </a:solidFill>
                <a:ea typeface="Segoe UI" pitchFamily="34" charset="0"/>
                <a:cs typeface="Segoe UI Light" panose="020B0502040204020203" pitchFamily="34" charset="0"/>
              </a:rPr>
              <a:t> Puoi copiare nella formula il codice di formato visualizzato.</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48</xdr:row>
      <xdr:rowOff>85724</xdr:rowOff>
    </xdr:from>
    <xdr:to>
      <xdr:col>1</xdr:col>
      <xdr:colOff>5209413</xdr:colOff>
      <xdr:row>60</xdr:row>
      <xdr:rowOff>152400</xdr:rowOff>
    </xdr:to>
    <xdr:grpSp>
      <xdr:nvGrpSpPr>
        <xdr:cNvPr id="110" name="Gruppo 109">
          <a:extLst>
            <a:ext uri="{FF2B5EF4-FFF2-40B4-BE49-F238E27FC236}">
              <a16:creationId xmlns:a16="http://schemas.microsoft.com/office/drawing/2014/main" id="{AB7C580B-2584-48A5-99EE-E42C35C6718F}"/>
            </a:ext>
          </a:extLst>
        </xdr:cNvPr>
        <xdr:cNvGrpSpPr/>
      </xdr:nvGrpSpPr>
      <xdr:grpSpPr>
        <a:xfrm>
          <a:off x="323850" y="13182599"/>
          <a:ext cx="5733288" cy="2352676"/>
          <a:chOff x="323850" y="9629774"/>
          <a:chExt cx="5733288" cy="2066925"/>
        </a:xfrm>
      </xdr:grpSpPr>
      <xdr:sp macro="" textlink="">
        <xdr:nvSpPr>
          <xdr:cNvPr id="76" name="Rettango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Passaggio" descr="Altre informazioni sul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nettore diritto 77" descr="Line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nettore diritto 78" descr="Line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52</xdr:row>
      <xdr:rowOff>28751</xdr:rowOff>
    </xdr:from>
    <xdr:to>
      <xdr:col>1</xdr:col>
      <xdr:colOff>3933825</xdr:colOff>
      <xdr:row>54</xdr:row>
      <xdr:rowOff>4367</xdr:rowOff>
    </xdr:to>
    <xdr:grpSp>
      <xdr:nvGrpSpPr>
        <xdr:cNvPr id="29" name="Gruppo 28">
          <a:extLst>
            <a:ext uri="{FF2B5EF4-FFF2-40B4-BE49-F238E27FC236}">
              <a16:creationId xmlns:a16="http://schemas.microsoft.com/office/drawing/2014/main" id="{56EB2164-D147-400B-8F32-5162F0FB9573}"/>
            </a:ext>
          </a:extLst>
        </xdr:cNvPr>
        <xdr:cNvGrpSpPr/>
      </xdr:nvGrpSpPr>
      <xdr:grpSpPr>
        <a:xfrm>
          <a:off x="535207" y="13887626"/>
          <a:ext cx="4246343" cy="356616"/>
          <a:chOff x="535207" y="10201451"/>
          <a:chExt cx="4246343" cy="356616"/>
        </a:xfrm>
      </xdr:grpSpPr>
      <xdr:sp macro="" textlink="">
        <xdr:nvSpPr>
          <xdr:cNvPr id="80" name="Passaggio" descr="Informazioni complete sulla funzione TESTO&#10;&#10;&#10;">
            <a:hlinkClick xmlns:r="http://schemas.openxmlformats.org/officeDocument/2006/relationships" r:id="rId5" tooltip="Seleziona per ottenere informazioni complete dal Web sulla funzione TESTO"/>
            <a:extLst>
              <a:ext uri="{FF2B5EF4-FFF2-40B4-BE49-F238E27FC236}">
                <a16:creationId xmlns:a16="http://schemas.microsoft.com/office/drawing/2014/main" id="{1C41B6F8-B5BE-4607-9781-910A4AB378C7}"/>
              </a:ext>
            </a:extLst>
          </xdr:cNvPr>
          <xdr:cNvSpPr txBox="1"/>
        </xdr:nvSpPr>
        <xdr:spPr>
          <a:xfrm>
            <a:off x="1003442" y="10276156"/>
            <a:ext cx="3778108"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TESTO</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81"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54</xdr:row>
      <xdr:rowOff>49967</xdr:rowOff>
    </xdr:from>
    <xdr:to>
      <xdr:col>1</xdr:col>
      <xdr:colOff>2601630</xdr:colOff>
      <xdr:row>56</xdr:row>
      <xdr:rowOff>25583</xdr:rowOff>
    </xdr:to>
    <xdr:grpSp>
      <xdr:nvGrpSpPr>
        <xdr:cNvPr id="28" name="Gruppo 27">
          <a:extLst>
            <a:ext uri="{FF2B5EF4-FFF2-40B4-BE49-F238E27FC236}">
              <a16:creationId xmlns:a16="http://schemas.microsoft.com/office/drawing/2014/main" id="{EA729A85-5078-41D7-B98C-429FBA889789}"/>
            </a:ext>
          </a:extLst>
        </xdr:cNvPr>
        <xdr:cNvGrpSpPr/>
      </xdr:nvGrpSpPr>
      <xdr:grpSpPr>
        <a:xfrm>
          <a:off x="535207" y="14289842"/>
          <a:ext cx="2914148" cy="356616"/>
          <a:chOff x="535207" y="10603667"/>
          <a:chExt cx="2914148" cy="356616"/>
        </a:xfrm>
      </xdr:grpSpPr>
      <xdr:sp macro="" textlink="">
        <xdr:nvSpPr>
          <xdr:cNvPr id="82" name="Passaggio" descr="Combinare testo e numeri, con collegamento ipertestuale al Web&#10;">
            <a:hlinkClick xmlns:r="http://schemas.openxmlformats.org/officeDocument/2006/relationships" r:id="rId8" tooltip="Seleziona per ottenere informazioni complete dal Web sulla combinazione di testo e numeri"/>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Combinare testo </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 numeri</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56</xdr:row>
      <xdr:rowOff>76517</xdr:rowOff>
    </xdr:from>
    <xdr:to>
      <xdr:col>1</xdr:col>
      <xdr:colOff>3733799</xdr:colOff>
      <xdr:row>58</xdr:row>
      <xdr:rowOff>52133</xdr:rowOff>
    </xdr:to>
    <xdr:grpSp>
      <xdr:nvGrpSpPr>
        <xdr:cNvPr id="19" name="Gruppo 18">
          <a:extLst>
            <a:ext uri="{FF2B5EF4-FFF2-40B4-BE49-F238E27FC236}">
              <a16:creationId xmlns:a16="http://schemas.microsoft.com/office/drawing/2014/main" id="{8908DE80-CBDC-46BF-A1D9-D258E3790FF2}"/>
            </a:ext>
          </a:extLst>
        </xdr:cNvPr>
        <xdr:cNvGrpSpPr/>
      </xdr:nvGrpSpPr>
      <xdr:grpSpPr>
        <a:xfrm>
          <a:off x="547899" y="14697392"/>
          <a:ext cx="4033625" cy="356616"/>
          <a:chOff x="547899" y="11011217"/>
          <a:chExt cx="4033625" cy="356616"/>
        </a:xfrm>
      </xdr:grpSpPr>
      <xdr:sp macro="" textlink="">
        <xdr:nvSpPr>
          <xdr:cNvPr id="84" name="Passaggio" descr="Formazione gratuita su Excel disponibile online, con collegamento ipertestuale al Web&#10;">
            <a:hlinkClick xmlns:r="http://schemas.openxmlformats.org/officeDocument/2006/relationships" r:id="rId9" tooltip="Seleziona per ottenere informazioni sulle risorse di formazione gratuita su Excel sul Web"/>
            <a:extLst>
              <a:ext uri="{FF2B5EF4-FFF2-40B4-BE49-F238E27FC236}">
                <a16:creationId xmlns:a16="http://schemas.microsoft.com/office/drawing/2014/main" id="{135564DB-95BA-4D69-9BB4-47DFF364A7BC}"/>
              </a:ext>
            </a:extLst>
          </xdr:cNvPr>
          <xdr:cNvSpPr txBox="1"/>
        </xdr:nvSpPr>
        <xdr:spPr>
          <a:xfrm>
            <a:off x="1016131" y="11062558"/>
            <a:ext cx="3565393"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85"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uppo 85">
          <a:extLst>
            <a:ext uri="{FF2B5EF4-FFF2-40B4-BE49-F238E27FC236}">
              <a16:creationId xmlns:a16="http://schemas.microsoft.com/office/drawing/2014/main" id="{95BF5A4D-3D39-4151-ADB7-3BD1C77C7AAA}"/>
            </a:ext>
          </a:extLst>
        </xdr:cNvPr>
        <xdr:cNvGrpSpPr/>
      </xdr:nvGrpSpPr>
      <xdr:grpSpPr>
        <a:xfrm>
          <a:off x="333375" y="352425"/>
          <a:ext cx="5734050" cy="7953375"/>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esto_SfondoPresentazione" descr="Sfondo">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esto_TitoloPresentazione" descr="Unione del testo contenuto in celle diverse">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Unione del testo contenuto in celle diverse</a:t>
              </a:r>
            </a:p>
          </xdr:txBody>
        </xdr:sp>
        <xdr:cxnSp macro="">
          <xdr:nvCxnSpPr>
            <xdr:cNvPr id="99" name="testo_LineaPresentazione1" descr="Line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esto_LineaPresentazione2" descr="Linea decorativa">
              <a:extLst>
                <a:ext uri="{FF2B5EF4-FFF2-40B4-BE49-F238E27FC236}">
                  <a16:creationId xmlns:a16="http://schemas.microsoft.com/office/drawing/2014/main" id="{D1E1815B-B93B-4FAB-BF34-F8EBD480D0BC}"/>
                </a:ext>
              </a:extLst>
            </xdr:cNvPr>
            <xdr:cNvCxnSpPr>
              <a:cxnSpLocks/>
            </xdr:cNvCxnSpPr>
          </xdr:nvCxnSpPr>
          <xdr:spPr>
            <a:xfrm>
              <a:off x="850887" y="52789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esto_IntroPresentazione" descr="In Excel capita spesso di dover unire il testo presente in celle diverse. Un esempio molto comune è un elenco di nomi e cognomi da combinare sotto forma di nome, cognome oppure nome completo. In Excel si può fare usando il simbolo &amp; (MAIUSC+7).">
              <a:extLst>
                <a:ext uri="{FF2B5EF4-FFF2-40B4-BE49-F238E27FC236}">
                  <a16:creationId xmlns:a16="http://schemas.microsoft.com/office/drawing/2014/main" id="{D2702511-4771-4838-A3C1-0C5BA687014B}"/>
                </a:ext>
              </a:extLst>
            </xdr:cNvPr>
            <xdr:cNvSpPr txBox="1"/>
          </xdr:nvSpPr>
          <xdr:spPr>
            <a:xfrm>
              <a:off x="846305" y="2224165"/>
              <a:ext cx="5216551"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 Excel capita spesso di dover unire il testo presente in celle diverse. Un esempio molto comune è un elenco di nomi e cognomi da combinare sotto forma di nome, cognome oppure nome completo. In Excel si può fare usando il simbolo della e commerciale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che puoi inserire con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MAIUSC+6</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uppo_Passaggio">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esto_Passaggio" descr="Nella cella E3 immetti =D3&amp;C3 per unire i cognomi e i nomi.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E3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unire i cognomi e i nomi.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forma_Passaggio"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89" name="gruppo_Passaggio">
            <a:extLst>
              <a:ext uri="{FF2B5EF4-FFF2-40B4-BE49-F238E27FC236}">
                <a16:creationId xmlns:a16="http://schemas.microsoft.com/office/drawing/2014/main" id="{2404CB22-1164-47A4-9503-5F5194382641}"/>
              </a:ext>
            </a:extLst>
          </xdr:cNvPr>
          <xdr:cNvGrpSpPr/>
        </xdr:nvGrpSpPr>
        <xdr:grpSpPr>
          <a:xfrm>
            <a:off x="238125" y="2166938"/>
            <a:ext cx="5220101" cy="881062"/>
            <a:chOff x="590674" y="7810500"/>
            <a:chExt cx="5186234" cy="881062"/>
          </a:xfrm>
        </xdr:grpSpPr>
        <xdr:sp macro="" textlink="">
          <xdr:nvSpPr>
            <xdr:cNvPr id="93" name="testo_Passaggio" descr="PanicucciOlga non è il risultato ideale. Dobbiamo aggiungere una virgola e uno spazio. A questo scopo usiamo le virgolette per creare una nuova stringa di testo. Questa volta immetti =D3&amp;&quot;, &quot;&amp;C3. La parte &amp;&quot;, &quot;&amp; consente di unire la virgola e lo spazio al testo nelle celle.&#10;">
              <a:extLst>
                <a:ext uri="{FF2B5EF4-FFF2-40B4-BE49-F238E27FC236}">
                  <a16:creationId xmlns:a16="http://schemas.microsoft.com/office/drawing/2014/main" id="{08674DB0-339E-4450-B5D1-99B77DC0D664}"/>
                </a:ext>
              </a:extLst>
            </xdr:cNvPr>
            <xdr:cNvSpPr txBox="1"/>
          </xdr:nvSpPr>
          <xdr:spPr>
            <a:xfrm>
              <a:off x="998369" y="7823883"/>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PanicucciOlga non è il risultato ideale. Dobbiamo aggiungere una virgola e uno spazio. A questo scopo usiamo le virgolette per creare una nuova stringa di testo. Questa volta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parte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consente di unire una virgola e uno spazio al testo nelle celle.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forma_Passaggio"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90" name="gruppo_Passaggio">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esto_Passaggio" descr="Per creare il nome completo, uniamo prima di tutto il nome e il cognome, ma usando uno spazio senza virgola. In F3 immetti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creare il nome completo, uniamo prima di tutto il nome e il cognome, ma usando uno spazio senza virgola. In F3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forma_Passaggio"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pulsante_Approfondimento" descr="Altri dettagli">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PulsanteAvanti" descr="Passa al foglio successivo">
          <a:hlinkClick xmlns:r="http://schemas.openxmlformats.org/officeDocument/2006/relationships" r:id="rId2" tooltip="Fai clic qui per passare al foglio successivo"/>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3</xdr:col>
      <xdr:colOff>1000124</xdr:colOff>
      <xdr:row>33</xdr:row>
      <xdr:rowOff>66677</xdr:rowOff>
    </xdr:from>
    <xdr:to>
      <xdr:col>7</xdr:col>
      <xdr:colOff>276224</xdr:colOff>
      <xdr:row>40</xdr:row>
      <xdr:rowOff>133352</xdr:rowOff>
    </xdr:to>
    <xdr:grpSp>
      <xdr:nvGrpSpPr>
        <xdr:cNvPr id="104" name="GUARDA QUI" descr="GUARDA QUI&#10;&#10;">
          <a:extLst>
            <a:ext uri="{FF2B5EF4-FFF2-40B4-BE49-F238E27FC236}">
              <a16:creationId xmlns:a16="http://schemas.microsoft.com/office/drawing/2014/main" id="{EFD4E48E-5D2B-4B5E-9DBB-99430A62BD96}"/>
            </a:ext>
          </a:extLst>
        </xdr:cNvPr>
        <xdr:cNvGrpSpPr/>
      </xdr:nvGrpSpPr>
      <xdr:grpSpPr>
        <a:xfrm>
          <a:off x="8458199" y="6924677"/>
          <a:ext cx="3505200" cy="1400175"/>
          <a:chOff x="7539454" y="7993902"/>
          <a:chExt cx="3505029" cy="1657808"/>
        </a:xfrm>
      </xdr:grpSpPr>
      <xdr:grpSp>
        <xdr:nvGrpSpPr>
          <xdr:cNvPr id="105" name="Linee parentesi quadre">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ltra linea parentesi quadra" descr="Linea parentesi quadra">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inea parentesi quadra" descr="Linea parentesi quadra&#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Stelle" descr="Stelle">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struzioni"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911955" cy="1657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Le formule,</a:t>
            </a:r>
            <a:r>
              <a:rPr lang="it" sz="1100" kern="0" baseline="0">
                <a:solidFill>
                  <a:schemeClr val="bg2">
                    <a:lumMod val="25000"/>
                  </a:schemeClr>
                </a:solidFill>
                <a:latin typeface="+mn-lt"/>
                <a:ea typeface="Segoe UI" pitchFamily="34" charset="0"/>
                <a:cs typeface="Segoe UI Light" panose="020B0502040204020203" pitchFamily="34" charset="0"/>
              </a:rPr>
              <a:t> soprattutto quelle di grandi dimensioni, possono risultare difficile da leggere, ma è possibile separare le parti con spazi, come in questo esempio:</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it" sz="1100" b="1">
                <a:solidFill>
                  <a:schemeClr val="bg2">
                    <a:lumMod val="25000"/>
                  </a:schemeClr>
                </a:solidFill>
                <a:latin typeface="+mn-lt"/>
                <a:ea typeface="Segoe UI" pitchFamily="34" charset="0"/>
                <a:cs typeface="Segoe UI Light" panose="020B0502040204020203" pitchFamily="34" charset="0"/>
              </a:rPr>
              <a:t>=C28 &amp; " " &amp; TESTO(D28;"GG/MM/AAAA")</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23</xdr:row>
      <xdr:rowOff>161925</xdr:rowOff>
    </xdr:to>
    <xdr:grpSp>
      <xdr:nvGrpSpPr>
        <xdr:cNvPr id="32" name="Gruppo 31">
          <a:extLst>
            <a:ext uri="{FF2B5EF4-FFF2-40B4-BE49-F238E27FC236}">
              <a16:creationId xmlns:a16="http://schemas.microsoft.com/office/drawing/2014/main" id="{32765470-045A-4DC3-91A2-013AB95EB7BA}"/>
            </a:ext>
          </a:extLst>
        </xdr:cNvPr>
        <xdr:cNvGrpSpPr/>
      </xdr:nvGrpSpPr>
      <xdr:grpSpPr>
        <a:xfrm>
          <a:off x="342900" y="361950"/>
          <a:ext cx="5734050" cy="4752975"/>
          <a:chOff x="342900" y="361950"/>
          <a:chExt cx="5734050" cy="4752975"/>
        </a:xfrm>
      </xdr:grpSpPr>
      <xdr:grpSp>
        <xdr:nvGrpSpPr>
          <xdr:cNvPr id="70" name="Gruppo 69">
            <a:extLst>
              <a:ext uri="{FF2B5EF4-FFF2-40B4-BE49-F238E27FC236}">
                <a16:creationId xmlns:a16="http://schemas.microsoft.com/office/drawing/2014/main" id="{070FF1E9-A14C-476A-A31F-8E531229B90A}"/>
              </a:ext>
            </a:extLst>
          </xdr:cNvPr>
          <xdr:cNvGrpSpPr/>
        </xdr:nvGrpSpPr>
        <xdr:grpSpPr>
          <a:xfrm>
            <a:off x="342900" y="361950"/>
            <a:ext cx="5734050" cy="4752975"/>
            <a:chOff x="342900" y="342900"/>
            <a:chExt cx="5734050" cy="4609566"/>
          </a:xfrm>
        </xdr:grpSpPr>
        <xdr:sp macro="" textlink="">
          <xdr:nvSpPr>
            <xdr:cNvPr id="76" name="testo_SfondoPresentazione" descr="Sfondo">
              <a:extLst>
                <a:ext uri="{FF2B5EF4-FFF2-40B4-BE49-F238E27FC236}">
                  <a16:creationId xmlns:a16="http://schemas.microsoft.com/office/drawing/2014/main" id="{32129052-3339-477F-8788-8EA08A10AD5C}"/>
                </a:ext>
              </a:extLst>
            </xdr:cNvPr>
            <xdr:cNvSpPr/>
          </xdr:nvSpPr>
          <xdr:spPr>
            <a:xfrm>
              <a:off x="342900" y="342900"/>
              <a:ext cx="5734050" cy="460956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esto_TitoloPresentazione" descr="Istruzioni SE">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Istruzioni SE</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esto_LineaPresentazione1" descr="Linea decorativa">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esto_LineaPresentazione2" descr="Linea decorativa">
              <a:extLst>
                <a:ext uri="{FF2B5EF4-FFF2-40B4-BE49-F238E27FC236}">
                  <a16:creationId xmlns:a16="http://schemas.microsoft.com/office/drawing/2014/main" id="{B9B7D386-28D6-4E40-BBBD-81C9A5683619}"/>
                </a:ext>
              </a:extLst>
            </xdr:cNvPr>
            <xdr:cNvCxnSpPr>
              <a:cxnSpLocks/>
            </xdr:cNvCxnSpPr>
          </xdr:nvCxnSpPr>
          <xdr:spPr>
            <a:xfrm>
              <a:off x="555628" y="412069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esto_IntroPresentazione" descr="Le istruzioni SE permettono di eseguire confronti logici tra condizioni. Un'istruzione SE in genere indica di eseguire una determinata operazione se una condizione è vera e di eseguire un'altra operazione se la condizione è falsa. Le formule possono restituire testo, valori o altri calcoli.&#10;">
              <a:extLst>
                <a:ext uri="{FF2B5EF4-FFF2-40B4-BE49-F238E27FC236}">
                  <a16:creationId xmlns:a16="http://schemas.microsoft.com/office/drawing/2014/main" id="{29E75ED7-FFEA-4CE5-86E1-A1A772619057}"/>
                </a:ext>
              </a:extLst>
            </xdr:cNvPr>
            <xdr:cNvSpPr txBox="1"/>
          </xdr:nvSpPr>
          <xdr:spPr>
            <a:xfrm>
              <a:off x="562138" y="1043066"/>
              <a:ext cx="5229062" cy="934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Le istruzioni SE permettono di eseguire confronti logici tra condizioni. Un'istruzione SE in genere indica di eseguire una determinata operazione se una condizione è vera e di eseguire un'altra operazione in caso contrario. Le formule possono restituire testo, valori o altri calcoli.</a:t>
              </a:r>
            </a:p>
          </xdr:txBody>
        </xdr:sp>
      </xdr:grpSp>
      <xdr:grpSp>
        <xdr:nvGrpSpPr>
          <xdr:cNvPr id="81" name="gruppo_Passaggio">
            <a:extLst>
              <a:ext uri="{FF2B5EF4-FFF2-40B4-BE49-F238E27FC236}">
                <a16:creationId xmlns:a16="http://schemas.microsoft.com/office/drawing/2014/main" id="{62718C28-6D67-47F6-B4B4-619E5B81F03D}"/>
              </a:ext>
            </a:extLst>
          </xdr:cNvPr>
          <xdr:cNvGrpSpPr/>
        </xdr:nvGrpSpPr>
        <xdr:grpSpPr>
          <a:xfrm>
            <a:off x="571500" y="2114550"/>
            <a:ext cx="5200651" cy="596207"/>
            <a:chOff x="666377" y="7962900"/>
            <a:chExt cx="5166910" cy="596207"/>
          </a:xfrm>
        </xdr:grpSpPr>
        <xdr:sp macro="" textlink="">
          <xdr:nvSpPr>
            <xdr:cNvPr id="82" name="testo_Passaggio" descr="Nella cella D9 immetti =SE(C9=&quot;Mela&quot;,VERO,FALSO). La risposta corretta è VERO. &#10;&#10;&#10;">
              <a:extLst>
                <a:ext uri="{FF2B5EF4-FFF2-40B4-BE49-F238E27FC236}">
                  <a16:creationId xmlns:a16="http://schemas.microsoft.com/office/drawing/2014/main" id="{C9F56A19-70D3-4628-8709-84489EA24BB0}"/>
                </a:ext>
              </a:extLst>
            </xdr:cNvPr>
            <xdr:cNvSpPr txBox="1"/>
          </xdr:nvSpPr>
          <xdr:spPr>
            <a:xfrm>
              <a:off x="1074076" y="8004858"/>
              <a:ext cx="475921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D9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=SE(C9="Mela";VERO;FALSO)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risposta corretta è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forma_Passaggio" descr="1">
              <a:extLst>
                <a:ext uri="{FF2B5EF4-FFF2-40B4-BE49-F238E27FC236}">
                  <a16:creationId xmlns:a16="http://schemas.microsoft.com/office/drawing/2014/main" id="{174BEEAC-1D05-4BA3-8D44-772CDEFA2E58}"/>
                </a:ext>
              </a:extLst>
            </xdr:cNvPr>
            <xdr:cNvSpPr/>
          </xdr:nvSpPr>
          <xdr:spPr>
            <a:xfrm>
              <a:off x="666377" y="79629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84" name="gruppo_Passaggio">
            <a:extLst>
              <a:ext uri="{FF2B5EF4-FFF2-40B4-BE49-F238E27FC236}">
                <a16:creationId xmlns:a16="http://schemas.microsoft.com/office/drawing/2014/main" id="{685246AB-9501-4CF4-B780-BCFC62DE94CD}"/>
              </a:ext>
            </a:extLst>
          </xdr:cNvPr>
          <xdr:cNvGrpSpPr/>
        </xdr:nvGrpSpPr>
        <xdr:grpSpPr>
          <a:xfrm>
            <a:off x="571500" y="2692400"/>
            <a:ext cx="5220103" cy="596207"/>
            <a:chOff x="685304" y="7962900"/>
            <a:chExt cx="5186236" cy="596207"/>
          </a:xfrm>
        </xdr:grpSpPr>
        <xdr:sp macro="" textlink="">
          <xdr:nvSpPr>
            <xdr:cNvPr id="85" name="testo_Passaggio" descr="Copia D9 in D10. Qui la risposta dovrebbe essere FALSO perché un'arancia non è una mela.&#10;&#10;">
              <a:extLst>
                <a:ext uri="{FF2B5EF4-FFF2-40B4-BE49-F238E27FC236}">
                  <a16:creationId xmlns:a16="http://schemas.microsoft.com/office/drawing/2014/main" id="{D8F2AE5E-974E-4202-A290-3F2D0EFF00C4}"/>
                </a:ext>
              </a:extLst>
            </xdr:cNvPr>
            <xdr:cNvSpPr txBox="1"/>
          </xdr:nvSpPr>
          <xdr:spPr>
            <a:xfrm>
              <a:off x="1093001" y="80048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Copia D9 in D10. Qui la risposta dovrebbe essere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perché un'arancia non è una mela.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forma_Passaggio" descr="2">
              <a:extLst>
                <a:ext uri="{FF2B5EF4-FFF2-40B4-BE49-F238E27FC236}">
                  <a16:creationId xmlns:a16="http://schemas.microsoft.com/office/drawing/2014/main" id="{19487CBB-1C21-45D8-828F-6A02011E52A3}"/>
                </a:ext>
              </a:extLst>
            </xdr:cNvPr>
            <xdr:cNvSpPr/>
          </xdr:nvSpPr>
          <xdr:spPr>
            <a:xfrm>
              <a:off x="685304" y="79629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87" name="gruppo_Passaggio">
            <a:extLst>
              <a:ext uri="{FF2B5EF4-FFF2-40B4-BE49-F238E27FC236}">
                <a16:creationId xmlns:a16="http://schemas.microsoft.com/office/drawing/2014/main" id="{90938F22-5BF3-4461-BD80-06D3D6849C8F}"/>
              </a:ext>
            </a:extLst>
          </xdr:cNvPr>
          <xdr:cNvGrpSpPr/>
        </xdr:nvGrpSpPr>
        <xdr:grpSpPr>
          <a:xfrm>
            <a:off x="571500" y="3317875"/>
            <a:ext cx="5220103" cy="873125"/>
            <a:chOff x="694767" y="7962900"/>
            <a:chExt cx="5186236" cy="873125"/>
          </a:xfrm>
        </xdr:grpSpPr>
        <xdr:sp macro="" textlink="">
          <xdr:nvSpPr>
            <xdr:cNvPr id="88" name="testo_Passaggio" descr="Prova un altro esempio osservando la formula nella cella D12. Abbiamo già inserito =SE(C12&lt;100,&quot;Minore di 100&quot;,&quot;Maggiore di o uguale a 100&quot;). Cosa succede se si immette un numero maggiore di 100 nella cella C12?&#10;&#10;&#10;">
              <a:extLst>
                <a:ext uri="{FF2B5EF4-FFF2-40B4-BE49-F238E27FC236}">
                  <a16:creationId xmlns:a16="http://schemas.microsoft.com/office/drawing/2014/main" id="{E7088066-5C93-42EC-B66E-113D20980BB7}"/>
                </a:ext>
              </a:extLst>
            </xdr:cNvPr>
            <xdr:cNvSpPr txBox="1"/>
          </xdr:nvSpPr>
          <xdr:spPr>
            <a:xfrm>
              <a:off x="1102464" y="80048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Prova un altro esempio osservando la formula nella cella D12. Abbiamo già inserito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=SE(C12&lt;100;"Minore di 100";"Maggiore di 100")</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Cosa succede se si immette un numero maggiore o uguale a </a:t>
              </a: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nella cella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forma_Passaggio" descr="3">
              <a:extLst>
                <a:ext uri="{FF2B5EF4-FFF2-40B4-BE49-F238E27FC236}">
                  <a16:creationId xmlns:a16="http://schemas.microsoft.com/office/drawing/2014/main" id="{A56BE1C1-41E9-483F-8A60-96A96BBFD3A7}"/>
                </a:ext>
              </a:extLst>
            </xdr:cNvPr>
            <xdr:cNvSpPr/>
          </xdr:nvSpPr>
          <xdr:spPr>
            <a:xfrm>
              <a:off x="694767" y="79629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20</xdr:row>
      <xdr:rowOff>85725</xdr:rowOff>
    </xdr:from>
    <xdr:to>
      <xdr:col>1</xdr:col>
      <xdr:colOff>4959242</xdr:colOff>
      <xdr:row>22</xdr:row>
      <xdr:rowOff>40174</xdr:rowOff>
    </xdr:to>
    <xdr:sp macro="" textlink="">
      <xdr:nvSpPr>
        <xdr:cNvPr id="90" name="PulsanteAvanti" descr="Passa al foglio successivo">
          <a:hlinkClick xmlns:r="http://schemas.openxmlformats.org/officeDocument/2006/relationships" r:id="rId1" tooltip="Fai clic qui per passare al foglio di lavoro successivo"/>
          <a:extLst>
            <a:ext uri="{FF2B5EF4-FFF2-40B4-BE49-F238E27FC236}">
              <a16:creationId xmlns:a16="http://schemas.microsoft.com/office/drawing/2014/main" id="{A98A8F02-A704-4521-9F8F-C54B0653E78B}"/>
            </a:ext>
          </a:extLst>
        </xdr:cNvPr>
        <xdr:cNvSpPr/>
      </xdr:nvSpPr>
      <xdr:spPr>
        <a:xfrm>
          <a:off x="4531797" y="44672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2</xdr:col>
      <xdr:colOff>420093</xdr:colOff>
      <xdr:row>13</xdr:row>
      <xdr:rowOff>173238</xdr:rowOff>
    </xdr:from>
    <xdr:to>
      <xdr:col>6</xdr:col>
      <xdr:colOff>514351</xdr:colOff>
      <xdr:row>21</xdr:row>
      <xdr:rowOff>57148</xdr:rowOff>
    </xdr:to>
    <xdr:grpSp>
      <xdr:nvGrpSpPr>
        <xdr:cNvPr id="91" name="DETTAGLIO IMPORTANTE" descr="DETTAGLIO IMPORTANTE&#10;&#10;">
          <a:extLst>
            <a:ext uri="{FF2B5EF4-FFF2-40B4-BE49-F238E27FC236}">
              <a16:creationId xmlns:a16="http://schemas.microsoft.com/office/drawing/2014/main" id="{4DBA7152-B8FD-4056-917A-B7F06AE8B67E}"/>
            </a:ext>
          </a:extLst>
        </xdr:cNvPr>
        <xdr:cNvGrpSpPr/>
      </xdr:nvGrpSpPr>
      <xdr:grpSpPr>
        <a:xfrm>
          <a:off x="6792318" y="3221238"/>
          <a:ext cx="4532908" cy="1407910"/>
          <a:chOff x="6863991" y="11363325"/>
          <a:chExt cx="3392012" cy="1199442"/>
        </a:xfrm>
      </xdr:grpSpPr>
      <xdr:sp macro="" textlink="">
        <xdr:nvSpPr>
          <xdr:cNvPr id="92" name="Istruzione"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3182103"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1" i="0" kern="1200" baseline="0">
                <a:solidFill>
                  <a:schemeClr val="dk1"/>
                </a:solidFill>
                <a:effectLst/>
                <a:latin typeface="+mn-lt"/>
                <a:ea typeface="+mn-ea"/>
                <a:cs typeface="+mn-cs"/>
              </a:rPr>
              <a:t>VERO</a:t>
            </a:r>
            <a:r>
              <a:rPr lang="it" sz="1100" b="0" i="0" kern="1200" baseline="0">
                <a:solidFill>
                  <a:schemeClr val="dk1"/>
                </a:solidFill>
                <a:effectLst/>
                <a:latin typeface="+mn-lt"/>
                <a:ea typeface="+mn-ea"/>
                <a:cs typeface="+mn-cs"/>
              </a:rPr>
              <a:t> e </a:t>
            </a:r>
            <a:r>
              <a:rPr lang="it" sz="1100" b="1" i="0" kern="1200" baseline="0">
                <a:solidFill>
                  <a:schemeClr val="dk1"/>
                </a:solidFill>
                <a:effectLst/>
                <a:latin typeface="+mn-lt"/>
                <a:ea typeface="+mn-ea"/>
                <a:cs typeface="+mn-cs"/>
              </a:rPr>
              <a:t>FALSO</a:t>
            </a:r>
            <a:r>
              <a:rPr lang="it" sz="1100" b="0" i="0" kern="1200" baseline="0">
                <a:solidFill>
                  <a:schemeClr val="dk1"/>
                </a:solidFill>
                <a:effectLst/>
                <a:latin typeface="+mn-lt"/>
                <a:ea typeface="+mn-ea"/>
                <a:cs typeface="+mn-cs"/>
              </a:rPr>
              <a:t> sono diverse dalle altre parole usate nelle formule di Excel in quanto non è necessario racchiuderle tra virgolette e vengono formattate automaticamente in maiuscolo. Anche i numeri non devono necessariamente essere racchiusi tra virgolette. Il testo normale come </a:t>
            </a:r>
            <a:r>
              <a:rPr lang="it" sz="1100" b="1" i="0" kern="1200" baseline="0">
                <a:solidFill>
                  <a:schemeClr val="dk1"/>
                </a:solidFill>
                <a:effectLst/>
                <a:latin typeface="+mn-lt"/>
                <a:ea typeface="+mn-ea"/>
                <a:cs typeface="+mn-cs"/>
              </a:rPr>
              <a:t>Sì</a:t>
            </a:r>
            <a:r>
              <a:rPr lang="it" sz="1100" b="0" i="0" kern="1200" baseline="0">
                <a:solidFill>
                  <a:schemeClr val="dk1"/>
                </a:solidFill>
                <a:effectLst/>
                <a:latin typeface="+mn-lt"/>
                <a:ea typeface="+mn-ea"/>
                <a:cs typeface="+mn-cs"/>
              </a:rPr>
              <a:t> o </a:t>
            </a:r>
            <a:r>
              <a:rPr lang="it" sz="1100" b="1" i="0" kern="1200" baseline="0">
                <a:solidFill>
                  <a:schemeClr val="dk1"/>
                </a:solidFill>
                <a:effectLst/>
                <a:latin typeface="+mn-lt"/>
                <a:ea typeface="+mn-ea"/>
                <a:cs typeface="+mn-cs"/>
              </a:rPr>
              <a:t>No</a:t>
            </a:r>
            <a:r>
              <a:rPr lang="it" sz="1100" b="0" i="0" kern="1200" baseline="0">
                <a:solidFill>
                  <a:schemeClr val="dk1"/>
                </a:solidFill>
                <a:effectLst/>
                <a:latin typeface="+mn-lt"/>
                <a:ea typeface="+mn-ea"/>
                <a:cs typeface="+mn-cs"/>
              </a:rPr>
              <a:t>, invece, deve essere racchiuso tra virgolette in questo modo: </a:t>
            </a:r>
          </a:p>
          <a:p>
            <a:pPr rtl="0" eaLnBrk="1" fontAlgn="auto" latinLnBrk="0" hangingPunct="1"/>
            <a:r>
              <a:rPr lang="it" sz="1100" b="1" kern="1200">
                <a:solidFill>
                  <a:schemeClr val="dk1"/>
                </a:solidFill>
                <a:latin typeface="+mn-lt"/>
                <a:ea typeface="+mn-ea"/>
                <a:cs typeface="+mn-cs"/>
              </a:rPr>
              <a:t>=SE(C9="Mela";"Sì";"No")</a:t>
            </a:r>
            <a:endParaRPr lang="en-US" sz="800" b="1">
              <a:effectLst/>
            </a:endParaRPr>
          </a:p>
        </xdr:txBody>
      </xdr:sp>
      <xdr:pic>
        <xdr:nvPicPr>
          <xdr:cNvPr id="93" name="Lente di ingrandimento" descr="Lente di ingrandimento">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5476874</xdr:colOff>
      <xdr:row>41</xdr:row>
      <xdr:rowOff>123824</xdr:rowOff>
    </xdr:from>
    <xdr:to>
      <xdr:col>5</xdr:col>
      <xdr:colOff>657224</xdr:colOff>
      <xdr:row>47</xdr:row>
      <xdr:rowOff>95249</xdr:rowOff>
    </xdr:to>
    <xdr:grpSp>
      <xdr:nvGrpSpPr>
        <xdr:cNvPr id="94" name="L'ESPERTO SUGGERISCE" descr="L'ESPERTO SUGGERISCE">
          <a:extLst>
            <a:ext uri="{FF2B5EF4-FFF2-40B4-BE49-F238E27FC236}">
              <a16:creationId xmlns:a16="http://schemas.microsoft.com/office/drawing/2014/main" id="{4F3513E1-6B29-4E54-80FC-E2B36E732D7E}"/>
            </a:ext>
          </a:extLst>
        </xdr:cNvPr>
        <xdr:cNvGrpSpPr/>
      </xdr:nvGrpSpPr>
      <xdr:grpSpPr>
        <a:xfrm>
          <a:off x="6324599" y="8610599"/>
          <a:ext cx="4200525" cy="1114425"/>
          <a:chOff x="8448675" y="2143125"/>
          <a:chExt cx="3343264" cy="1107625"/>
        </a:xfrm>
      </xdr:grpSpPr>
      <xdr:pic>
        <xdr:nvPicPr>
          <xdr:cNvPr id="95" name="Elemento grafico 2" descr="Gufo">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Passaggio"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Fai clic qui per trovare altre informazioni sugli intervalli denominati sul Web."/>
            <a:extLst>
              <a:ext uri="{FF2B5EF4-FFF2-40B4-BE49-F238E27FC236}">
                <a16:creationId xmlns:a16="http://schemas.microsoft.com/office/drawing/2014/main" id="{CDFC5BF1-DCF8-4B3F-9426-0E409672138F}"/>
              </a:ext>
            </a:extLst>
          </xdr:cNvPr>
          <xdr:cNvSpPr txBox="1"/>
        </xdr:nvSpPr>
        <xdr:spPr>
          <a:xfrm>
            <a:off x="8782052" y="2143125"/>
            <a:ext cx="3009887" cy="110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L'ESPERTO SUGGERISCE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b="1" i="1" u="sng" kern="0">
                <a:solidFill>
                  <a:schemeClr val="accent1"/>
                </a:solidFill>
                <a:ea typeface="Segoe UI" pitchFamily="34" charset="0"/>
                <a:cs typeface="Segoe UI Light" panose="020B0502040204020203" pitchFamily="34" charset="0"/>
              </a:rPr>
              <a:t>Gli intervalli denominati </a:t>
            </a:r>
            <a:r>
              <a:rPr lang="it" sz="1100" kern="0">
                <a:solidFill>
                  <a:schemeClr val="bg2">
                    <a:lumMod val="25000"/>
                  </a:schemeClr>
                </a:solidFill>
                <a:ea typeface="Segoe UI" pitchFamily="34" charset="0"/>
                <a:cs typeface="Segoe UI Light" panose="020B0502040204020203" pitchFamily="34" charset="0"/>
              </a:rPr>
              <a:t>consentono di definire i termini o i valori in un'unica posizione per poterli riutilizzare in</a:t>
            </a:r>
            <a:r>
              <a:rPr lang="it" sz="1100" kern="0" baseline="0">
                <a:solidFill>
                  <a:schemeClr val="bg2">
                    <a:lumMod val="25000"/>
                  </a:schemeClr>
                </a:solidFill>
                <a:ea typeface="Segoe UI" pitchFamily="34" charset="0"/>
                <a:cs typeface="Segoe UI Light" panose="020B0502040204020203" pitchFamily="34" charset="0"/>
              </a:rPr>
              <a:t> una cartella di lavoro. Per vedere tutti gli intervalli denominati usati in questa cartella di lavoro, scegli </a:t>
            </a:r>
            <a:r>
              <a:rPr lang="it" sz="1100" b="1" kern="0" baseline="0">
                <a:solidFill>
                  <a:schemeClr val="bg2">
                    <a:lumMod val="25000"/>
                  </a:schemeClr>
                </a:solidFill>
                <a:ea typeface="Segoe UI" pitchFamily="34" charset="0"/>
                <a:cs typeface="Segoe UI Light" panose="020B0502040204020203" pitchFamily="34" charset="0"/>
              </a:rPr>
              <a:t>Formule</a:t>
            </a:r>
            <a:r>
              <a:rPr lang="it" sz="1100" kern="0" baseline="0">
                <a:solidFill>
                  <a:schemeClr val="bg2">
                    <a:lumMod val="25000"/>
                  </a:schemeClr>
                </a:solidFill>
                <a:ea typeface="Segoe UI" pitchFamily="34" charset="0"/>
                <a:cs typeface="Segoe UI Light" panose="020B0502040204020203" pitchFamily="34" charset="0"/>
              </a:rPr>
              <a:t> &gt; </a:t>
            </a:r>
            <a:r>
              <a:rPr lang="it" sz="1100" b="1" kern="0" baseline="0">
                <a:solidFill>
                  <a:schemeClr val="bg2">
                    <a:lumMod val="25000"/>
                  </a:schemeClr>
                </a:solidFill>
                <a:ea typeface="Segoe UI" pitchFamily="34" charset="0"/>
                <a:cs typeface="Segoe UI Light" panose="020B0502040204020203" pitchFamily="34" charset="0"/>
              </a:rPr>
              <a:t>Gestione nomi.</a:t>
            </a:r>
            <a:r>
              <a:rPr lang="it" sz="1100" b="0" kern="0" baseline="0">
                <a:solidFill>
                  <a:schemeClr val="bg2">
                    <a:lumMod val="25000"/>
                  </a:schemeClr>
                </a:solidFill>
                <a:ea typeface="Segoe UI" pitchFamily="34" charset="0"/>
                <a:cs typeface="Segoe UI Light" panose="020B0502040204020203" pitchFamily="34" charset="0"/>
              </a:rPr>
              <a:t> Fai clic qui per altre informazioni.</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600074</xdr:colOff>
      <xdr:row>40</xdr:row>
      <xdr:rowOff>77654</xdr:rowOff>
    </xdr:to>
    <xdr:grpSp>
      <xdr:nvGrpSpPr>
        <xdr:cNvPr id="97" name="INFORMAZIONI UTILI" descr="INFORMAZIONI UTILI&#10;&#10;">
          <a:extLst>
            <a:ext uri="{FF2B5EF4-FFF2-40B4-BE49-F238E27FC236}">
              <a16:creationId xmlns:a16="http://schemas.microsoft.com/office/drawing/2014/main" id="{B45D0037-257A-421E-9928-F95C71F032DA}"/>
            </a:ext>
          </a:extLst>
        </xdr:cNvPr>
        <xdr:cNvGrpSpPr/>
      </xdr:nvGrpSpPr>
      <xdr:grpSpPr>
        <a:xfrm>
          <a:off x="10868026" y="6633874"/>
          <a:ext cx="3590923" cy="1740055"/>
          <a:chOff x="6778625" y="15619705"/>
          <a:chExt cx="3278827" cy="1671345"/>
        </a:xfrm>
      </xdr:grpSpPr>
      <xdr:sp macro="" textlink="">
        <xdr:nvSpPr>
          <xdr:cNvPr id="98" name="Passaggio"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8" y="15665450"/>
            <a:ext cx="30144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Quando si crea una formula, Excel inserisce automaticamente bordi colorati intorno a tutti gli intervalli a cui viene fatto riferimento nella formula e gli intervalli corrispondenti nella formula saranno dello stesso colore. Per osservare questo effetto, seleziona la cella F33 e premi </a:t>
            </a:r>
            <a:r>
              <a:rPr lang="it" sz="1100" b="1" i="0" kern="1200" baseline="0">
                <a:solidFill>
                  <a:schemeClr val="dk1"/>
                </a:solidFill>
                <a:effectLst/>
                <a:latin typeface="+mn-lt"/>
                <a:ea typeface="+mn-ea"/>
                <a:cs typeface="+mn-cs"/>
              </a:rPr>
              <a:t>F2</a:t>
            </a:r>
            <a:r>
              <a:rPr lang="it" sz="1100" b="0" i="0" kern="1200" baseline="0">
                <a:solidFill>
                  <a:schemeClr val="dk1"/>
                </a:solidFill>
                <a:effectLst/>
                <a:latin typeface="+mn-lt"/>
                <a:ea typeface="+mn-ea"/>
                <a:cs typeface="+mn-cs"/>
              </a:rPr>
              <a:t> per modificare la formula.</a:t>
            </a:r>
            <a:endParaRPr lang="en-US" sz="1100">
              <a:effectLst/>
              <a:latin typeface="+mn-lt"/>
            </a:endParaRPr>
          </a:p>
        </xdr:txBody>
      </xdr:sp>
      <xdr:pic>
        <xdr:nvPicPr>
          <xdr:cNvPr id="99" name="Elemento grafico 147" descr="Occhiali">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20</xdr:row>
      <xdr:rowOff>85725</xdr:rowOff>
    </xdr:from>
    <xdr:to>
      <xdr:col>1</xdr:col>
      <xdr:colOff>2484107</xdr:colOff>
      <xdr:row>23</xdr:row>
      <xdr:rowOff>49912</xdr:rowOff>
    </xdr:to>
    <xdr:sp macro="" textlink="">
      <xdr:nvSpPr>
        <xdr:cNvPr id="100" name="pulsante_Approfondimento" descr="Altri dettagli">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46722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editAs="absolute">
    <xdr:from>
      <xdr:col>0</xdr:col>
      <xdr:colOff>333375</xdr:colOff>
      <xdr:row>24</xdr:row>
      <xdr:rowOff>85724</xdr:rowOff>
    </xdr:from>
    <xdr:to>
      <xdr:col>1</xdr:col>
      <xdr:colOff>5219700</xdr:colOff>
      <xdr:row>57</xdr:row>
      <xdr:rowOff>161925</xdr:rowOff>
    </xdr:to>
    <xdr:grpSp>
      <xdr:nvGrpSpPr>
        <xdr:cNvPr id="31" name="Gruppo 30">
          <a:extLst>
            <a:ext uri="{FF2B5EF4-FFF2-40B4-BE49-F238E27FC236}">
              <a16:creationId xmlns:a16="http://schemas.microsoft.com/office/drawing/2014/main" id="{D5949D2E-3383-4D0F-B2BE-8F45CB07F6DF}"/>
            </a:ext>
          </a:extLst>
        </xdr:cNvPr>
        <xdr:cNvGrpSpPr/>
      </xdr:nvGrpSpPr>
      <xdr:grpSpPr>
        <a:xfrm>
          <a:off x="333375" y="5229224"/>
          <a:ext cx="5734050" cy="6467476"/>
          <a:chOff x="333375" y="5000624"/>
          <a:chExt cx="5734050" cy="6474599"/>
        </a:xfrm>
      </xdr:grpSpPr>
      <xdr:sp macro="" textlink="">
        <xdr:nvSpPr>
          <xdr:cNvPr id="101" name="testo_SfondoPresentazione" descr="Sfondo">
            <a:extLst>
              <a:ext uri="{FF2B5EF4-FFF2-40B4-BE49-F238E27FC236}">
                <a16:creationId xmlns:a16="http://schemas.microsoft.com/office/drawing/2014/main" id="{D30CE2FF-D296-4C22-A916-909B28036CE0}"/>
              </a:ext>
            </a:extLst>
          </xdr:cNvPr>
          <xdr:cNvSpPr/>
        </xdr:nvSpPr>
        <xdr:spPr>
          <a:xfrm>
            <a:off x="333375" y="5000624"/>
            <a:ext cx="5734050" cy="64745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esto_TitoloPresentazione" descr="Istruzione SE con un'altra funzione">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Istruzione SE con un'altra funzione</a:t>
            </a:r>
          </a:p>
        </xdr:txBody>
      </xdr:sp>
      <xdr:cxnSp macro="">
        <xdr:nvCxnSpPr>
          <xdr:cNvPr id="103" name="testo_LineaPresentazione1" descr="Linea decorativa">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esto_LineaPresentazione2" descr="Linea decorativa">
            <a:extLst>
              <a:ext uri="{FF2B5EF4-FFF2-40B4-BE49-F238E27FC236}">
                <a16:creationId xmlns:a16="http://schemas.microsoft.com/office/drawing/2014/main" id="{8891E0FB-F07B-444F-B967-54078E830D13}"/>
              </a:ext>
            </a:extLst>
          </xdr:cNvPr>
          <xdr:cNvCxnSpPr>
            <a:cxnSpLocks/>
          </xdr:cNvCxnSpPr>
        </xdr:nvCxnSpPr>
        <xdr:spPr>
          <a:xfrm>
            <a:off x="546103" y="1069326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esto_IntroPresentazione" descr="Le istruzioni SE possono anche forzare l'esecuzione di altri calcoli se è soddisfatta una determinata condizione. Qui valuteremo una cella per stabilire se deve essere addebitata l'IVA e per calcolarla, se la condizione è vera.&#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Le istruzioni SE possono anche forzare l'esecuzione di altri calcoli se è soddisfatta una determinata condizione. Qui valuteremo una cella per stabilire se deve essere addebitata l'IVA e per calcolarla, se la condizione è vera.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uppo_Passaggio">
            <a:extLst>
              <a:ext uri="{FF2B5EF4-FFF2-40B4-BE49-F238E27FC236}">
                <a16:creationId xmlns:a16="http://schemas.microsoft.com/office/drawing/2014/main" id="{5CDE601E-EF9E-420E-80FC-F58C2BA9720A}"/>
              </a:ext>
            </a:extLst>
          </xdr:cNvPr>
          <xdr:cNvGrpSpPr/>
        </xdr:nvGrpSpPr>
        <xdr:grpSpPr>
          <a:xfrm>
            <a:off x="561975" y="6486525"/>
            <a:ext cx="5295900" cy="1355676"/>
            <a:chOff x="581211" y="7810500"/>
            <a:chExt cx="5261541" cy="1355676"/>
          </a:xfrm>
        </xdr:grpSpPr>
        <xdr:sp macro="" textlink="">
          <xdr:nvSpPr>
            <xdr:cNvPr id="107" name="testo_Passaggio"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313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F33 abbiamo inserito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=SE(E33="Sì";F31*IVA;0</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con l'IVA configurata come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intervallo denominato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con il valore 0,0825. La formula indica: se la cella E33 equivale a Sì, moltiplica la cella F31 per l'IVA, altrimenti restituisci il valore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Prova a inserire No al posto di Sì nella cella E33 per vedere come cambia il calcolo.</a:t>
              </a:r>
            </a:p>
          </xdr:txBody>
        </xdr:sp>
        <xdr:sp macro="" textlink="">
          <xdr:nvSpPr>
            <xdr:cNvPr id="108" name="forma_Passaggio"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109" name="gruppo_Passaggio">
            <a:extLst>
              <a:ext uri="{FF2B5EF4-FFF2-40B4-BE49-F238E27FC236}">
                <a16:creationId xmlns:a16="http://schemas.microsoft.com/office/drawing/2014/main" id="{BFF24217-919E-4D15-B472-AB89F019AF8E}"/>
              </a:ext>
            </a:extLst>
          </xdr:cNvPr>
          <xdr:cNvGrpSpPr/>
        </xdr:nvGrpSpPr>
        <xdr:grpSpPr>
          <a:xfrm>
            <a:off x="561975" y="7963220"/>
            <a:ext cx="5229626" cy="876332"/>
            <a:chOff x="581211" y="8115620"/>
            <a:chExt cx="5195697" cy="876332"/>
          </a:xfrm>
        </xdr:grpSpPr>
        <xdr:sp macro="" textlink="">
          <xdr:nvSpPr>
            <xdr:cNvPr id="110" name="testo_Passaggio" descr="Abbiamo quindi aggiunto un'istruzione SE per calcolare le spese di spedizione, se necessarie. Nella cella F35 vedrai =SE(E35=&quot;Sì&quot;;SOMMA(D28:D29)*1,25;0). Questo significa: &quot;Se la cella E35 contiene Sì, moltiplica per 1,25 la somma della colonna Quantità nella tabella soprastante, altrimenti restituisci il valore 0&quot;.&#10;">
              <a:extLst>
                <a:ext uri="{FF2B5EF4-FFF2-40B4-BE49-F238E27FC236}">
                  <a16:creationId xmlns:a16="http://schemas.microsoft.com/office/drawing/2014/main" id="{AEA982A9-56DB-413C-8C06-090FF22D1BCD}"/>
                </a:ext>
              </a:extLst>
            </xdr:cNvPr>
            <xdr:cNvSpPr txBox="1"/>
          </xdr:nvSpPr>
          <xdr:spPr>
            <a:xfrm>
              <a:off x="998369" y="8157610"/>
              <a:ext cx="4778539" cy="83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Abbiamo quindi aggiunto un'istruzione SE per calcolare le spese di spedizione, se necessarie. Nella cella F35 vedrai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=SE(E35="Sì";SOMMA(D28:D29)*1,25;0)</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Questo significa: "Se la cella E35 contiene Sì, moltiplica per 1,25 la somma della colonna Quantità nella tabella soprastante, altrimenti restituisci il valore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forma_Passaggio" descr="2">
              <a:extLst>
                <a:ext uri="{FF2B5EF4-FFF2-40B4-BE49-F238E27FC236}">
                  <a16:creationId xmlns:a16="http://schemas.microsoft.com/office/drawing/2014/main" id="{BCCAD99D-66BF-4E4A-8BE8-EB9E7692B65E}"/>
                </a:ext>
              </a:extLst>
            </xdr:cNvPr>
            <xdr:cNvSpPr/>
          </xdr:nvSpPr>
          <xdr:spPr>
            <a:xfrm>
              <a:off x="581211" y="811562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112" name="gruppo_Passaggio">
            <a:extLst>
              <a:ext uri="{FF2B5EF4-FFF2-40B4-BE49-F238E27FC236}">
                <a16:creationId xmlns:a16="http://schemas.microsoft.com/office/drawing/2014/main" id="{BF6B2B89-C936-492B-9E7C-BBD3854AF4D9}"/>
              </a:ext>
            </a:extLst>
          </xdr:cNvPr>
          <xdr:cNvGrpSpPr/>
        </xdr:nvGrpSpPr>
        <xdr:grpSpPr>
          <a:xfrm>
            <a:off x="561975" y="9049250"/>
            <a:ext cx="5229626" cy="1510591"/>
            <a:chOff x="581211" y="8287250"/>
            <a:chExt cx="5195697" cy="1510591"/>
          </a:xfrm>
        </xdr:grpSpPr>
        <xdr:sp macro="" textlink="">
          <xdr:nvSpPr>
            <xdr:cNvPr id="113" name="testo_Passaggio" descr="Quindi, sostituisci il valore 1,25 nella formula nella cella F35 con &quot;Spedizione&quot;. Quando inizi a digitare, la funzione di correzione automatica di Excel dovrebbe trovare automaticamente la voce. Quando accade, premi TAB per immetterla. Questo è un intervallo denominato che è stato immesso da Formule &gt; Definisci nome. A questo punto, se è necessario modificare le spese di spedizione, sarà sufficiente farlo in un unico posto e usare il nome Spedizione ovunque nella cartella di lavoro.&#10;&#10;">
              <a:extLst>
                <a:ext uri="{FF2B5EF4-FFF2-40B4-BE49-F238E27FC236}">
                  <a16:creationId xmlns:a16="http://schemas.microsoft.com/office/drawing/2014/main" id="{A722657B-F5BE-4EA5-BAAE-C570DA0E3B71}"/>
                </a:ext>
              </a:extLst>
            </xdr:cNvPr>
            <xdr:cNvSpPr txBox="1"/>
          </xdr:nvSpPr>
          <xdr:spPr>
            <a:xfrm>
              <a:off x="998369" y="8329258"/>
              <a:ext cx="4778539" cy="146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Adesso sostituisci il valore 1,25 nella formula nella cella F35 con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Spedizione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Quando inizi a digitare, la funzione di correzione automatica di Excel dovrebbe trovare automaticamente la voce. Quando accade,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immetterla. Questo è un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intervallo denominato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che è stato immesso da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Definisci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questo punto, se è necessario modificare le spese di spedizione, sarà sufficiente farlo in un unico posto e usare il nome Spedizione ovunque nella cartella di lavoro.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forma_Passaggio" descr="3">
              <a:extLst>
                <a:ext uri="{FF2B5EF4-FFF2-40B4-BE49-F238E27FC236}">
                  <a16:creationId xmlns:a16="http://schemas.microsoft.com/office/drawing/2014/main" id="{9DDD420D-C72F-4430-9995-3824DE1CAC4D}"/>
                </a:ext>
              </a:extLst>
            </xdr:cNvPr>
            <xdr:cNvSpPr/>
          </xdr:nvSpPr>
          <xdr:spPr>
            <a:xfrm>
              <a:off x="581211" y="82872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55</xdr:row>
      <xdr:rowOff>0</xdr:rowOff>
    </xdr:from>
    <xdr:to>
      <xdr:col>1</xdr:col>
      <xdr:colOff>980459</xdr:colOff>
      <xdr:row>56</xdr:row>
      <xdr:rowOff>144949</xdr:rowOff>
    </xdr:to>
    <xdr:sp macro="" textlink="">
      <xdr:nvSpPr>
        <xdr:cNvPr id="115" name="PulsanteIndietro" descr="Torna al foglio precedente">
          <a:hlinkClick xmlns:r="http://schemas.openxmlformats.org/officeDocument/2006/relationships" r:id="rId10" tooltip="Fai clic qui per tornare al foglio precedente"/>
          <a:extLst>
            <a:ext uri="{FF2B5EF4-FFF2-40B4-BE49-F238E27FC236}">
              <a16:creationId xmlns:a16="http://schemas.microsoft.com/office/drawing/2014/main" id="{F139BCB5-BA52-4BA9-B27E-80EDF1CA9815}"/>
            </a:ext>
          </a:extLst>
        </xdr:cNvPr>
        <xdr:cNvSpPr/>
      </xdr:nvSpPr>
      <xdr:spPr>
        <a:xfrm flipH="1">
          <a:off x="552450" y="1115377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3684072</xdr:colOff>
      <xdr:row>55</xdr:row>
      <xdr:rowOff>0</xdr:rowOff>
    </xdr:from>
    <xdr:to>
      <xdr:col>1</xdr:col>
      <xdr:colOff>4959806</xdr:colOff>
      <xdr:row>56</xdr:row>
      <xdr:rowOff>144949</xdr:rowOff>
    </xdr:to>
    <xdr:sp macro="" textlink="">
      <xdr:nvSpPr>
        <xdr:cNvPr id="116" name="PulsanteAvanti" descr="Passa al foglio successivo">
          <a:hlinkClick xmlns:r="http://schemas.openxmlformats.org/officeDocument/2006/relationships" r:id="rId1" tooltip="Fai clic qui per passare al foglio di lavoro successivo"/>
          <a:extLst>
            <a:ext uri="{FF2B5EF4-FFF2-40B4-BE49-F238E27FC236}">
              <a16:creationId xmlns:a16="http://schemas.microsoft.com/office/drawing/2014/main" id="{BBF61831-9570-4211-818C-38318F38D015}"/>
            </a:ext>
          </a:extLst>
        </xdr:cNvPr>
        <xdr:cNvSpPr/>
      </xdr:nvSpPr>
      <xdr:spPr>
        <a:xfrm>
          <a:off x="4531797" y="1115377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IT" sz="1200">
              <a:solidFill>
                <a:srgbClr val="0B744D"/>
              </a:solidFill>
              <a:latin typeface="Segoe UI" pitchFamily="34" charset="0"/>
              <a:ea typeface="Segoe UI" pitchFamily="34" charset="0"/>
              <a:cs typeface="Segoe UI" pitchFamily="34" charset="0"/>
            </a:rPr>
            <a:t>Successivo</a:t>
          </a:r>
          <a:endParaRPr lang="it" sz="1200">
            <a:solidFill>
              <a:srgbClr val="0B744D"/>
            </a:solidFill>
            <a:latin typeface="Segoe UI" pitchFamily="34" charset="0"/>
            <a:ea typeface="Segoe UI" pitchFamily="34" charset="0"/>
            <a:cs typeface="Segoe UI" pitchFamily="34" charset="0"/>
          </a:endParaRPr>
        </a:p>
      </xdr:txBody>
    </xdr:sp>
    <xdr:clientData fPrintsWithSheet="0"/>
  </xdr:twoCellAnchor>
  <xdr:twoCellAnchor editAs="absolute">
    <xdr:from>
      <xdr:col>0</xdr:col>
      <xdr:colOff>352425</xdr:colOff>
      <xdr:row>58</xdr:row>
      <xdr:rowOff>95250</xdr:rowOff>
    </xdr:from>
    <xdr:to>
      <xdr:col>1</xdr:col>
      <xdr:colOff>5237988</xdr:colOff>
      <xdr:row>71</xdr:row>
      <xdr:rowOff>152400</xdr:rowOff>
    </xdr:to>
    <xdr:grpSp>
      <xdr:nvGrpSpPr>
        <xdr:cNvPr id="117" name="Gruppo 116">
          <a:extLst>
            <a:ext uri="{FF2B5EF4-FFF2-40B4-BE49-F238E27FC236}">
              <a16:creationId xmlns:a16="http://schemas.microsoft.com/office/drawing/2014/main" id="{A4810020-C4C7-483B-BB90-6111CE7B8559}"/>
            </a:ext>
          </a:extLst>
        </xdr:cNvPr>
        <xdr:cNvGrpSpPr/>
      </xdr:nvGrpSpPr>
      <xdr:grpSpPr>
        <a:xfrm>
          <a:off x="352425" y="11820525"/>
          <a:ext cx="5733288" cy="2533650"/>
          <a:chOff x="352425" y="10715625"/>
          <a:chExt cx="5733288" cy="2390775"/>
        </a:xfrm>
      </xdr:grpSpPr>
      <xdr:sp macro="" textlink="">
        <xdr:nvSpPr>
          <xdr:cNvPr id="118" name="Rettangolo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Passaggio" descr="Altre informazioni sul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nettore diritto 120" descr="Linea decorativa">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nettore diritto 71" descr="Linea decorativa">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nettore diritto 72" descr="Linea decorativa">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62</xdr:row>
      <xdr:rowOff>26119</xdr:rowOff>
    </xdr:from>
    <xdr:to>
      <xdr:col>1</xdr:col>
      <xdr:colOff>3800475</xdr:colOff>
      <xdr:row>64</xdr:row>
      <xdr:rowOff>4198</xdr:rowOff>
    </xdr:to>
    <xdr:grpSp>
      <xdr:nvGrpSpPr>
        <xdr:cNvPr id="30" name="Gruppo 29">
          <a:extLst>
            <a:ext uri="{FF2B5EF4-FFF2-40B4-BE49-F238E27FC236}">
              <a16:creationId xmlns:a16="http://schemas.microsoft.com/office/drawing/2014/main" id="{734055A1-8444-407E-B760-0BF685C60AE8}"/>
            </a:ext>
          </a:extLst>
        </xdr:cNvPr>
        <xdr:cNvGrpSpPr/>
      </xdr:nvGrpSpPr>
      <xdr:grpSpPr>
        <a:xfrm>
          <a:off x="562406" y="12513394"/>
          <a:ext cx="4085794" cy="359079"/>
          <a:chOff x="562406" y="11418019"/>
          <a:chExt cx="4085794" cy="359079"/>
        </a:xfrm>
      </xdr:grpSpPr>
      <xdr:sp macro="" textlink="">
        <xdr:nvSpPr>
          <xdr:cNvPr id="122" name="Passaggio" descr="Informazioni complete sulla funzione SE, con collegamento ipertestuale al Web&#10;&#10;">
            <a:hlinkClick xmlns:r="http://schemas.openxmlformats.org/officeDocument/2006/relationships" r:id="rId11" tooltip="Seleziona per ottenere informazioni complete dal Web sulla funzione SE"/>
            <a:extLst>
              <a:ext uri="{FF2B5EF4-FFF2-40B4-BE49-F238E27FC236}">
                <a16:creationId xmlns:a16="http://schemas.microsoft.com/office/drawing/2014/main" id="{C0A7CC9F-DB96-4F0E-B2C2-8BD914BE74EC}"/>
              </a:ext>
            </a:extLst>
          </xdr:cNvPr>
          <xdr:cNvSpPr txBox="1"/>
        </xdr:nvSpPr>
        <xdr:spPr>
          <a:xfrm>
            <a:off x="1027591" y="11492379"/>
            <a:ext cx="36206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23" name="Elemento grafico 22" descr="Freccia">
            <a:hlinkClick xmlns:r="http://schemas.openxmlformats.org/officeDocument/2006/relationships" r:id="rId11" tooltip="Seleziona per ottenere altre informazioni dal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64</xdr:row>
      <xdr:rowOff>20185</xdr:rowOff>
    </xdr:from>
    <xdr:to>
      <xdr:col>1</xdr:col>
      <xdr:colOff>3495674</xdr:colOff>
      <xdr:row>66</xdr:row>
      <xdr:rowOff>3574</xdr:rowOff>
    </xdr:to>
    <xdr:grpSp>
      <xdr:nvGrpSpPr>
        <xdr:cNvPr id="29" name="Gruppo 28">
          <a:extLst>
            <a:ext uri="{FF2B5EF4-FFF2-40B4-BE49-F238E27FC236}">
              <a16:creationId xmlns:a16="http://schemas.microsoft.com/office/drawing/2014/main" id="{B13CA61E-C0BF-4685-82BB-1ADFEB7A3BE0}"/>
            </a:ext>
          </a:extLst>
        </xdr:cNvPr>
        <xdr:cNvGrpSpPr/>
      </xdr:nvGrpSpPr>
      <xdr:grpSpPr>
        <a:xfrm>
          <a:off x="562406" y="12888460"/>
          <a:ext cx="3780993" cy="364389"/>
          <a:chOff x="562406" y="11793085"/>
          <a:chExt cx="3780993" cy="364389"/>
        </a:xfrm>
      </xdr:grpSpPr>
      <xdr:sp macro="" textlink="">
        <xdr:nvSpPr>
          <xdr:cNvPr id="124" name="Passaggio" descr="Informazioni complete sulla funzione PIÙ.SE, con collegamento ipertestuale al Web&#10;">
            <a:hlinkClick xmlns:r="http://schemas.openxmlformats.org/officeDocument/2006/relationships" r:id="rId14" tooltip="Seleziona per ottenere informazioni complete dal Web sulla funzione PIÙ.SE"/>
            <a:extLst>
              <a:ext uri="{FF2B5EF4-FFF2-40B4-BE49-F238E27FC236}">
                <a16:creationId xmlns:a16="http://schemas.microsoft.com/office/drawing/2014/main" id="{AD0BC53A-C4C7-465E-A99E-D4C6A4A4165C}"/>
              </a:ext>
            </a:extLst>
          </xdr:cNvPr>
          <xdr:cNvSpPr txBox="1"/>
        </xdr:nvSpPr>
        <xdr:spPr>
          <a:xfrm>
            <a:off x="1027590" y="11870261"/>
            <a:ext cx="33158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PIÙ.SE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25" name="Elemento grafico 22" descr="Freccia">
            <a:hlinkClick xmlns:r="http://schemas.openxmlformats.org/officeDocument/2006/relationships" r:id="rId14" tooltip="Seleziona per ottenere altre informazioni dal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68</xdr:row>
      <xdr:rowOff>51103</xdr:rowOff>
    </xdr:from>
    <xdr:to>
      <xdr:col>1</xdr:col>
      <xdr:colOff>3562350</xdr:colOff>
      <xdr:row>70</xdr:row>
      <xdr:rowOff>34492</xdr:rowOff>
    </xdr:to>
    <xdr:grpSp>
      <xdr:nvGrpSpPr>
        <xdr:cNvPr id="20" name="Gruppo 19">
          <a:extLst>
            <a:ext uri="{FF2B5EF4-FFF2-40B4-BE49-F238E27FC236}">
              <a16:creationId xmlns:a16="http://schemas.microsoft.com/office/drawing/2014/main" id="{0552D274-B7DD-441F-82AB-F9C18F3F1907}"/>
            </a:ext>
          </a:extLst>
        </xdr:cNvPr>
        <xdr:cNvGrpSpPr/>
      </xdr:nvGrpSpPr>
      <xdr:grpSpPr>
        <a:xfrm>
          <a:off x="562406" y="13681378"/>
          <a:ext cx="3847669" cy="364389"/>
          <a:chOff x="562406" y="12586003"/>
          <a:chExt cx="3847669" cy="364389"/>
        </a:xfrm>
      </xdr:grpSpPr>
      <xdr:sp macro="" textlink="">
        <xdr:nvSpPr>
          <xdr:cNvPr id="126" name="Passaggio" descr="Formazione gratuita su Excel disponibile online, con collegamento ipertestuale al Web&#10;">
            <a:hlinkClick xmlns:r="http://schemas.openxmlformats.org/officeDocument/2006/relationships" r:id="rId15" tooltip="Seleziona per ottenere informazioni dal Web sulle risorse di formazione gratuita su Excel disponibili online"/>
            <a:extLst>
              <a:ext uri="{FF2B5EF4-FFF2-40B4-BE49-F238E27FC236}">
                <a16:creationId xmlns:a16="http://schemas.microsoft.com/office/drawing/2014/main" id="{7825C514-8FA2-4A6D-AF39-649B9CAF9255}"/>
              </a:ext>
            </a:extLst>
          </xdr:cNvPr>
          <xdr:cNvSpPr txBox="1"/>
        </xdr:nvSpPr>
        <xdr:spPr>
          <a:xfrm>
            <a:off x="1040199" y="12637107"/>
            <a:ext cx="33698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27" name="Elemento grafico 22" descr="Freccia">
            <a:hlinkClick xmlns:r="http://schemas.openxmlformats.org/officeDocument/2006/relationships" r:id="rId15" tooltip="Seleziona per ottenere altre informazioni dal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66</xdr:row>
      <xdr:rowOff>19561</xdr:rowOff>
    </xdr:from>
    <xdr:to>
      <xdr:col>1</xdr:col>
      <xdr:colOff>2609850</xdr:colOff>
      <xdr:row>68</xdr:row>
      <xdr:rowOff>2950</xdr:rowOff>
    </xdr:to>
    <xdr:grpSp>
      <xdr:nvGrpSpPr>
        <xdr:cNvPr id="25" name="Gruppo 24">
          <a:extLst>
            <a:ext uri="{FF2B5EF4-FFF2-40B4-BE49-F238E27FC236}">
              <a16:creationId xmlns:a16="http://schemas.microsoft.com/office/drawing/2014/main" id="{F1DB9CDB-5B09-4600-8014-FE097D5CAA92}"/>
            </a:ext>
          </a:extLst>
        </xdr:cNvPr>
        <xdr:cNvGrpSpPr/>
      </xdr:nvGrpSpPr>
      <xdr:grpSpPr>
        <a:xfrm>
          <a:off x="562406" y="13268836"/>
          <a:ext cx="2895169" cy="364389"/>
          <a:chOff x="562406" y="12173461"/>
          <a:chExt cx="2895169" cy="364389"/>
        </a:xfrm>
      </xdr:grpSpPr>
      <xdr:sp macro="" textlink="">
        <xdr:nvSpPr>
          <xdr:cNvPr id="128" name="Passaggio" descr="Istruzioni SE avanzate, con collegamento ipertestuale al Web&#10;">
            <a:hlinkClick xmlns:r="http://schemas.openxmlformats.org/officeDocument/2006/relationships" r:id="rId16" tooltip="Seleziona per ottenere informazioni complete dal Web sulle istruzioni SE avanzate"/>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Istruzioni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avanzate</a:t>
            </a:r>
          </a:p>
        </xdr:txBody>
      </xdr:sp>
      <xdr:pic>
        <xdr:nvPicPr>
          <xdr:cNvPr id="129" name="Elemento grafico 22" descr="Freccia">
            <a:hlinkClick xmlns:r="http://schemas.openxmlformats.org/officeDocument/2006/relationships" r:id="rId16" tooltip="Seleziona per ottenere altre informazioni dal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409215</xdr:colOff>
      <xdr:row>59</xdr:row>
      <xdr:rowOff>133074</xdr:rowOff>
    </xdr:to>
    <xdr:pic>
      <xdr:nvPicPr>
        <xdr:cNvPr id="2" name="Immagin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esto_SfondoPresentazione" descr="Sfondo">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esto_TitoloPresentazione" descr="CERCA.VERT">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CERCA.VERT</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esto_LineaPresentazione1" descr="Linea decorativa">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esto_LineaPresentazione2" descr="Linea decorativa">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6</xdr:row>
      <xdr:rowOff>0</xdr:rowOff>
    </xdr:to>
    <xdr:sp macro="" textlink="">
      <xdr:nvSpPr>
        <xdr:cNvPr id="85" name="testo_IntroPresentazione" descr="CERCA.VERT è una delle funzioni più usate in Excel. CERCA.VERT consente di cercare un valore in una colonna a sinistra, quindi restituisce le informazioni in un'altra colonna a destra se trova una corrispondenza. CERCA.VERT dice:&#10;&#10;">
          <a:extLst>
            <a:ext uri="{FF2B5EF4-FFF2-40B4-BE49-F238E27FC236}">
              <a16:creationId xmlns:a16="http://schemas.microsoft.com/office/drawing/2014/main" id="{F9326461-020C-4B3F-9364-21D592985D33}"/>
            </a:ext>
          </a:extLst>
        </xdr:cNvPr>
        <xdr:cNvSpPr txBox="1"/>
      </xdr:nvSpPr>
      <xdr:spPr>
        <a:xfrm>
          <a:off x="571663" y="1062116"/>
          <a:ext cx="5251444" cy="65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CERCA.VERT è una delle funzioni più usate in Excel. CERCA.VERT consente di cercare un valore in una colonna a sinistra, quindi restituisce le informazioni in un'altra colonna a destra se trova una corrispondenza. CERCA.VERT dice: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19</xdr:row>
      <xdr:rowOff>166663</xdr:rowOff>
    </xdr:from>
    <xdr:to>
      <xdr:col>1</xdr:col>
      <xdr:colOff>4991587</xdr:colOff>
      <xdr:row>23</xdr:row>
      <xdr:rowOff>114300</xdr:rowOff>
    </xdr:to>
    <xdr:grpSp>
      <xdr:nvGrpSpPr>
        <xdr:cNvPr id="3" name="Gruppo 2">
          <a:extLst>
            <a:ext uri="{FF2B5EF4-FFF2-40B4-BE49-F238E27FC236}">
              <a16:creationId xmlns:a16="http://schemas.microsoft.com/office/drawing/2014/main" id="{A668747A-127E-4399-9A99-C2F143BEE89C}"/>
            </a:ext>
          </a:extLst>
        </xdr:cNvPr>
        <xdr:cNvGrpSpPr/>
      </xdr:nvGrpSpPr>
      <xdr:grpSpPr>
        <a:xfrm>
          <a:off x="600144" y="4357663"/>
          <a:ext cx="5239168" cy="709637"/>
          <a:chOff x="561975" y="4357663"/>
          <a:chExt cx="5229626" cy="709637"/>
        </a:xfrm>
      </xdr:grpSpPr>
      <xdr:sp macro="" textlink="">
        <xdr:nvSpPr>
          <xdr:cNvPr id="87" name="testo_Passaggio" descr="Nella cella D22 immetti =CERCA.VERT(C22;C17:D20;2;FALSO). La risposta corretta per Mele è 50. CERCA.VERT ha cercato il valore Mele, l'ha trovato e quindi ha restituito la quantità una colonna più a destra.&#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D22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=CERCA.VERT(C22;C17:D20;2;FALSO).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 risposta corretta per Mele è 50. CERCA.VERT ha cercato il valore Mele, l'ha trovato e quindi ha restituito la quantità una colonna più a destra.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forma_Passaggio"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uppo 1">
          <a:extLst>
            <a:ext uri="{FF2B5EF4-FFF2-40B4-BE49-F238E27FC236}">
              <a16:creationId xmlns:a16="http://schemas.microsoft.com/office/drawing/2014/main" id="{7248ACEA-EF5C-407C-9476-B09DAE8F48D8}"/>
            </a:ext>
          </a:extLst>
        </xdr:cNvPr>
        <xdr:cNvGrpSpPr/>
      </xdr:nvGrpSpPr>
      <xdr:grpSpPr>
        <a:xfrm>
          <a:off x="561975" y="5072038"/>
          <a:ext cx="5229626" cy="596207"/>
          <a:chOff x="523875" y="5072038"/>
          <a:chExt cx="5220101" cy="596207"/>
        </a:xfrm>
      </xdr:grpSpPr>
      <xdr:sp macro="" textlink="">
        <xdr:nvSpPr>
          <xdr:cNvPr id="90" name="testo_Passaggio" descr="Ora prova autonomamente nella sezione Carne, nella cella G22. Dovresti ottenere =CERCA.VERT(F22;F17:G20;2;FALSO).&#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prova autonomamente nella sezione Carne, nella cella G22. Dovresti ottenere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=CERCA.VERT(F22;F17:G20;2;FALSO)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forma_Passaggio"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27</xdr:row>
      <xdr:rowOff>176188</xdr:rowOff>
    </xdr:from>
    <xdr:to>
      <xdr:col>1</xdr:col>
      <xdr:colOff>4959806</xdr:colOff>
      <xdr:row>29</xdr:row>
      <xdr:rowOff>130637</xdr:rowOff>
    </xdr:to>
    <xdr:sp macro="" textlink="">
      <xdr:nvSpPr>
        <xdr:cNvPr id="92" name="PulsanteAvanti" descr="Passa al foglio successivo">
          <a:hlinkClick xmlns:r="http://schemas.openxmlformats.org/officeDocument/2006/relationships" r:id="rId1" tooltip="Fai clic qui per passare al foglio di lavoro successivo"/>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xdr:from>
      <xdr:col>0</xdr:col>
      <xdr:colOff>333375</xdr:colOff>
      <xdr:row>62</xdr:row>
      <xdr:rowOff>19021</xdr:rowOff>
    </xdr:from>
    <xdr:to>
      <xdr:col>1</xdr:col>
      <xdr:colOff>5218938</xdr:colOff>
      <xdr:row>78</xdr:row>
      <xdr:rowOff>66674</xdr:rowOff>
    </xdr:to>
    <xdr:grpSp>
      <xdr:nvGrpSpPr>
        <xdr:cNvPr id="93" name="Gruppo 92">
          <a:extLst>
            <a:ext uri="{FF2B5EF4-FFF2-40B4-BE49-F238E27FC236}">
              <a16:creationId xmlns:a16="http://schemas.microsoft.com/office/drawing/2014/main" id="{6AD4BB42-C99A-40EC-9E51-AFE390CD9507}"/>
            </a:ext>
          </a:extLst>
        </xdr:cNvPr>
        <xdr:cNvGrpSpPr/>
      </xdr:nvGrpSpPr>
      <xdr:grpSpPr>
        <a:xfrm>
          <a:off x="333375" y="12401521"/>
          <a:ext cx="5733288" cy="3095653"/>
          <a:chOff x="0" y="5524499"/>
          <a:chExt cx="5695950" cy="3095653"/>
        </a:xfrm>
      </xdr:grpSpPr>
      <xdr:sp macro="" textlink="">
        <xdr:nvSpPr>
          <xdr:cNvPr id="94" name="Rettangolo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Passaggio" descr="Altre informazioni sul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nettore diritto 95" descr="Linea decorativa">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nettore diritto 96" descr="Linea decorativa">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66</xdr:row>
      <xdr:rowOff>16566</xdr:rowOff>
    </xdr:from>
    <xdr:to>
      <xdr:col>1</xdr:col>
      <xdr:colOff>3943350</xdr:colOff>
      <xdr:row>67</xdr:row>
      <xdr:rowOff>185145</xdr:rowOff>
    </xdr:to>
    <xdr:grpSp>
      <xdr:nvGrpSpPr>
        <xdr:cNvPr id="17" name="Gruppo 16">
          <a:extLst>
            <a:ext uri="{FF2B5EF4-FFF2-40B4-BE49-F238E27FC236}">
              <a16:creationId xmlns:a16="http://schemas.microsoft.com/office/drawing/2014/main" id="{AA259A6F-5BA1-4BA7-97B7-539D915D1A18}"/>
            </a:ext>
          </a:extLst>
        </xdr:cNvPr>
        <xdr:cNvGrpSpPr/>
      </xdr:nvGrpSpPr>
      <xdr:grpSpPr>
        <a:xfrm>
          <a:off x="562406" y="13161066"/>
          <a:ext cx="4228669" cy="359079"/>
          <a:chOff x="562406" y="12494316"/>
          <a:chExt cx="4228669" cy="359079"/>
        </a:xfrm>
      </xdr:grpSpPr>
      <xdr:sp macro="" textlink="">
        <xdr:nvSpPr>
          <xdr:cNvPr id="98" name="Passaggio" descr="Informazioni complete sulla funzione CERCA.VERT, con collegamento ipertestuale al Web&#10;&#10;">
            <a:hlinkClick xmlns:r="http://schemas.openxmlformats.org/officeDocument/2006/relationships" r:id="rId2" tooltip="Seleziona per ottenere informazioni complete dal Web sulla funzione CERCA.VERT"/>
            <a:extLst>
              <a:ext uri="{FF2B5EF4-FFF2-40B4-BE49-F238E27FC236}">
                <a16:creationId xmlns:a16="http://schemas.microsoft.com/office/drawing/2014/main" id="{A860ADA4-DD2D-4966-AB6B-7FB24178B7B9}"/>
              </a:ext>
            </a:extLst>
          </xdr:cNvPr>
          <xdr:cNvSpPr txBox="1"/>
        </xdr:nvSpPr>
        <xdr:spPr>
          <a:xfrm>
            <a:off x="1027591" y="12568676"/>
            <a:ext cx="3763484"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CERCA.VERT</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99" name="Elemento grafico 22" descr="Freccia">
            <a:hlinkClick xmlns:r="http://schemas.openxmlformats.org/officeDocument/2006/relationships" r:id="rId2" tooltip="Seleziona per ottenere altre informazioni dal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68</xdr:row>
      <xdr:rowOff>22187</xdr:rowOff>
    </xdr:from>
    <xdr:to>
      <xdr:col>1</xdr:col>
      <xdr:colOff>4371974</xdr:colOff>
      <xdr:row>70</xdr:row>
      <xdr:rowOff>5576</xdr:rowOff>
    </xdr:to>
    <xdr:grpSp>
      <xdr:nvGrpSpPr>
        <xdr:cNvPr id="16" name="Gruppo 15">
          <a:extLst>
            <a:ext uri="{FF2B5EF4-FFF2-40B4-BE49-F238E27FC236}">
              <a16:creationId xmlns:a16="http://schemas.microsoft.com/office/drawing/2014/main" id="{79235089-8072-43CC-BE8C-67B41C2F383F}"/>
            </a:ext>
          </a:extLst>
        </xdr:cNvPr>
        <xdr:cNvGrpSpPr/>
      </xdr:nvGrpSpPr>
      <xdr:grpSpPr>
        <a:xfrm>
          <a:off x="562406" y="13547687"/>
          <a:ext cx="4657293" cy="364389"/>
          <a:chOff x="562406" y="12880937"/>
          <a:chExt cx="4657293" cy="364389"/>
        </a:xfrm>
      </xdr:grpSpPr>
      <xdr:sp macro="" textlink="">
        <xdr:nvSpPr>
          <xdr:cNvPr id="100" name="Passaggio" descr="Informazioni complete sulle funzioni INDICE/CONFRONTA, con collegamento ipertestuale al Web&#10;">
            <a:hlinkClick xmlns:r="http://schemas.openxmlformats.org/officeDocument/2006/relationships" r:id="rId5" tooltip="Seleziona per ottenere informazioni complete dal Web sulla funzione INDICE/CONFRONTA"/>
            <a:extLst>
              <a:ext uri="{FF2B5EF4-FFF2-40B4-BE49-F238E27FC236}">
                <a16:creationId xmlns:a16="http://schemas.microsoft.com/office/drawing/2014/main" id="{BEC8DAF3-59CC-4665-B2F7-C11D93097B1A}"/>
              </a:ext>
            </a:extLst>
          </xdr:cNvPr>
          <xdr:cNvSpPr txBox="1"/>
        </xdr:nvSpPr>
        <xdr:spPr>
          <a:xfrm>
            <a:off x="1027590" y="12946558"/>
            <a:ext cx="41921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sulle </a:t>
            </a:r>
            <a:r>
              <a:rPr lang="i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funzioni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INDICE/CONFRONTA</a:t>
            </a:r>
          </a:p>
        </xdr:txBody>
      </xdr:sp>
      <xdr:pic>
        <xdr:nvPicPr>
          <xdr:cNvPr id="101"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74</xdr:row>
      <xdr:rowOff>70125</xdr:rowOff>
    </xdr:from>
    <xdr:to>
      <xdr:col>1</xdr:col>
      <xdr:colOff>4181475</xdr:colOff>
      <xdr:row>76</xdr:row>
      <xdr:rowOff>53514</xdr:rowOff>
    </xdr:to>
    <xdr:grpSp>
      <xdr:nvGrpSpPr>
        <xdr:cNvPr id="6" name="Gruppo 5">
          <a:extLst>
            <a:ext uri="{FF2B5EF4-FFF2-40B4-BE49-F238E27FC236}">
              <a16:creationId xmlns:a16="http://schemas.microsoft.com/office/drawing/2014/main" id="{5C999AAF-BC52-4D03-84CC-9A10F67B8111}"/>
            </a:ext>
          </a:extLst>
        </xdr:cNvPr>
        <xdr:cNvGrpSpPr/>
      </xdr:nvGrpSpPr>
      <xdr:grpSpPr>
        <a:xfrm>
          <a:off x="562406" y="14738625"/>
          <a:ext cx="4466794" cy="364389"/>
          <a:chOff x="562406" y="14071875"/>
          <a:chExt cx="4466794" cy="364389"/>
        </a:xfrm>
      </xdr:grpSpPr>
      <xdr:sp macro="" textlink="">
        <xdr:nvSpPr>
          <xdr:cNvPr id="102" name="Passaggio" descr="Formazione gratuita su Excel disponibile online, con collegamento ipertestuale al Web&#10;">
            <a:hlinkClick xmlns:r="http://schemas.openxmlformats.org/officeDocument/2006/relationships" r:id="rId6" tooltip="Seleziona per ottenere informazioni sulle risorse di formazione gratuita su Excel sul Web"/>
            <a:extLst>
              <a:ext uri="{FF2B5EF4-FFF2-40B4-BE49-F238E27FC236}">
                <a16:creationId xmlns:a16="http://schemas.microsoft.com/office/drawing/2014/main" id="{4781BFBE-B5EC-40E0-B408-A2571FFF08DE}"/>
              </a:ext>
            </a:extLst>
          </xdr:cNvPr>
          <xdr:cNvSpPr txBox="1"/>
        </xdr:nvSpPr>
        <xdr:spPr>
          <a:xfrm>
            <a:off x="1040199" y="14151554"/>
            <a:ext cx="39890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03" name="Elemento grafico 22" descr="Freccia">
            <a:hlinkClick xmlns:r="http://schemas.openxmlformats.org/officeDocument/2006/relationships" r:id="rId6" tooltip="Seleziona per ottenere altre informazioni dal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70</xdr:row>
      <xdr:rowOff>33118</xdr:rowOff>
    </xdr:from>
    <xdr:to>
      <xdr:col>1</xdr:col>
      <xdr:colOff>4629150</xdr:colOff>
      <xdr:row>72</xdr:row>
      <xdr:rowOff>16507</xdr:rowOff>
    </xdr:to>
    <xdr:grpSp>
      <xdr:nvGrpSpPr>
        <xdr:cNvPr id="8" name="Gruppo 7">
          <a:extLst>
            <a:ext uri="{FF2B5EF4-FFF2-40B4-BE49-F238E27FC236}">
              <a16:creationId xmlns:a16="http://schemas.microsoft.com/office/drawing/2014/main" id="{F2122903-3464-4677-84BC-66087719FF0D}"/>
            </a:ext>
          </a:extLst>
        </xdr:cNvPr>
        <xdr:cNvGrpSpPr/>
      </xdr:nvGrpSpPr>
      <xdr:grpSpPr>
        <a:xfrm>
          <a:off x="562406" y="13939618"/>
          <a:ext cx="4914469" cy="364389"/>
          <a:chOff x="562406" y="13272868"/>
          <a:chExt cx="4914469" cy="364389"/>
        </a:xfrm>
      </xdr:grpSpPr>
      <xdr:sp macro="" textlink="">
        <xdr:nvSpPr>
          <xdr:cNvPr id="104" name="Passaggio" descr="Informazioni complete sulla funzione SE.ERRORE, con collegamento ipertestuale al Web&#10;">
            <a:hlinkClick xmlns:r="http://schemas.openxmlformats.org/officeDocument/2006/relationships" r:id="rId7" tooltip="Seleziona per ottenere informazioni complete dal Web sulla funzione SE.ERRORE"/>
            <a:extLst>
              <a:ext uri="{FF2B5EF4-FFF2-40B4-BE49-F238E27FC236}">
                <a16:creationId xmlns:a16="http://schemas.microsoft.com/office/drawing/2014/main" id="{FD7D1475-3C3C-4885-B019-D94FC37509D0}"/>
              </a:ext>
            </a:extLst>
          </xdr:cNvPr>
          <xdr:cNvSpPr txBox="1"/>
        </xdr:nvSpPr>
        <xdr:spPr>
          <a:xfrm>
            <a:off x="1027591" y="13318033"/>
            <a:ext cx="44492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SE.ERRORE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05" name="Elemento grafico 22" descr="Freccia">
            <a:hlinkClick xmlns:r="http://schemas.openxmlformats.org/officeDocument/2006/relationships" r:id="rId7" tooltip="Seleziona per ottenere altre informazioni dal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72</xdr:row>
      <xdr:rowOff>44049</xdr:rowOff>
    </xdr:from>
    <xdr:to>
      <xdr:col>1</xdr:col>
      <xdr:colOff>4505325</xdr:colOff>
      <xdr:row>74</xdr:row>
      <xdr:rowOff>27438</xdr:rowOff>
    </xdr:to>
    <xdr:grpSp>
      <xdr:nvGrpSpPr>
        <xdr:cNvPr id="7" name="Gruppo 6">
          <a:extLst>
            <a:ext uri="{FF2B5EF4-FFF2-40B4-BE49-F238E27FC236}">
              <a16:creationId xmlns:a16="http://schemas.microsoft.com/office/drawing/2014/main" id="{56B2B91D-B542-499E-8788-299E4FFAC823}"/>
            </a:ext>
          </a:extLst>
        </xdr:cNvPr>
        <xdr:cNvGrpSpPr/>
      </xdr:nvGrpSpPr>
      <xdr:grpSpPr>
        <a:xfrm>
          <a:off x="562406" y="14331549"/>
          <a:ext cx="4790644" cy="364389"/>
          <a:chOff x="562406" y="13664799"/>
          <a:chExt cx="4790644" cy="364389"/>
        </a:xfrm>
      </xdr:grpSpPr>
      <xdr:sp macro="" textlink="">
        <xdr:nvSpPr>
          <xdr:cNvPr id="106" name="Passaggio" descr="Usare le tabelle pivot per analizzare i dati di un foglio di lavoro&#10;">
            <a:hlinkClick xmlns:r="http://schemas.openxmlformats.org/officeDocument/2006/relationships" r:id="rId8" tooltip="Seleziona per ottenere informazioni complete dal Web sulla creazione di una tabella pivot per analizzare i dati in un foglio di lavoro"/>
            <a:extLst>
              <a:ext uri="{FF2B5EF4-FFF2-40B4-BE49-F238E27FC236}">
                <a16:creationId xmlns:a16="http://schemas.microsoft.com/office/drawing/2014/main" id="{2E0B811D-CA68-487C-A6BB-4DE6198A877D}"/>
              </a:ext>
            </a:extLst>
          </xdr:cNvPr>
          <xdr:cNvSpPr txBox="1"/>
        </xdr:nvSpPr>
        <xdr:spPr>
          <a:xfrm>
            <a:off x="1027590" y="13727608"/>
            <a:ext cx="43254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Usare le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tabelle pivot</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per analizzare</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 dati di un foglio di lavoro</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pulsante_Approfondimento" descr="Altri dettagli">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xdr:from>
      <xdr:col>0</xdr:col>
      <xdr:colOff>333375</xdr:colOff>
      <xdr:row>31</xdr:row>
      <xdr:rowOff>161897</xdr:rowOff>
    </xdr:from>
    <xdr:to>
      <xdr:col>1</xdr:col>
      <xdr:colOff>5219700</xdr:colOff>
      <xdr:row>61</xdr:row>
      <xdr:rowOff>85725</xdr:rowOff>
    </xdr:to>
    <xdr:grpSp>
      <xdr:nvGrpSpPr>
        <xdr:cNvPr id="117" name="Gruppo 116">
          <a:extLst>
            <a:ext uri="{FF2B5EF4-FFF2-40B4-BE49-F238E27FC236}">
              <a16:creationId xmlns:a16="http://schemas.microsoft.com/office/drawing/2014/main" id="{13E6C982-6CD3-4F56-8160-7A99956655B4}"/>
            </a:ext>
          </a:extLst>
        </xdr:cNvPr>
        <xdr:cNvGrpSpPr/>
      </xdr:nvGrpSpPr>
      <xdr:grpSpPr>
        <a:xfrm>
          <a:off x="333375" y="6638897"/>
          <a:ext cx="5734050" cy="5638828"/>
          <a:chOff x="381000" y="6619847"/>
          <a:chExt cx="5734050" cy="5638828"/>
        </a:xfrm>
      </xdr:grpSpPr>
      <xdr:sp macro="" textlink="">
        <xdr:nvSpPr>
          <xdr:cNvPr id="118" name="testo_SfondoPresentazione" descr="Sfondo">
            <a:extLst>
              <a:ext uri="{FF2B5EF4-FFF2-40B4-BE49-F238E27FC236}">
                <a16:creationId xmlns:a16="http://schemas.microsoft.com/office/drawing/2014/main" id="{D3E3BF3F-62BA-42BD-AAAA-C2798A711BDD}"/>
              </a:ext>
            </a:extLst>
          </xdr:cNvPr>
          <xdr:cNvSpPr/>
        </xdr:nvSpPr>
        <xdr:spPr>
          <a:xfrm>
            <a:off x="381000" y="6619847"/>
            <a:ext cx="5734050" cy="563882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esto_TitoloPresentazione" descr="CERCA.VERT e #N/D">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CERCA.VERT e #N/D</a:t>
            </a:r>
          </a:p>
        </xdr:txBody>
      </xdr:sp>
      <xdr:cxnSp macro="">
        <xdr:nvCxnSpPr>
          <xdr:cNvPr id="120" name="testo_LineaPresentazione1" descr="Linea decorativa">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esto_LineaPresentazione2" descr="Linea decorativa">
            <a:extLst>
              <a:ext uri="{FF2B5EF4-FFF2-40B4-BE49-F238E27FC236}">
                <a16:creationId xmlns:a16="http://schemas.microsoft.com/office/drawing/2014/main" id="{9714E556-7850-4148-BEC1-BE99A53AD145}"/>
              </a:ext>
            </a:extLst>
          </xdr:cNvPr>
          <xdr:cNvCxnSpPr>
            <a:cxnSpLocks/>
          </xdr:cNvCxnSpPr>
        </xdr:nvCxnSpPr>
        <xdr:spPr>
          <a:xfrm>
            <a:off x="623901" y="1157496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esto_IntroPresentazione" descr="Presto o tardi ti capiterà che CERCA.VERT non riesca a trovare ciò che hai chiesto e restituisca un errore (#N/D). Questo può succedere, ad esempio, se il valore di ricerca non esiste oppure se la cella di riferimento non contiene ancora un valore.&#10;&#10;">
            <a:extLst>
              <a:ext uri="{FF2B5EF4-FFF2-40B4-BE49-F238E27FC236}">
                <a16:creationId xmlns:a16="http://schemas.microsoft.com/office/drawing/2014/main" id="{14D15DCB-93AB-4F22-9D6D-FBFB2C3479BE}"/>
              </a:ext>
            </a:extLst>
          </xdr:cNvPr>
          <xdr:cNvSpPr txBox="1"/>
        </xdr:nvSpPr>
        <xdr:spPr>
          <a:xfrm>
            <a:off x="619288" y="7320013"/>
            <a:ext cx="5251444" cy="6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Presto o tardi ti capiterà che CERCA.VERT non riesca a trovare ciò che hai chiesto e restituisca un errore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#N/D</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Questo può succedere, ad esempio, se il valore di ricerca non esiste oppure se la cella di riferimento non contiene ancora un valore.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uppo_Passaggio">
            <a:extLst>
              <a:ext uri="{FF2B5EF4-FFF2-40B4-BE49-F238E27FC236}">
                <a16:creationId xmlns:a16="http://schemas.microsoft.com/office/drawing/2014/main" id="{5965A0D4-2BC5-48D7-B26B-96EE64B5243D}"/>
              </a:ext>
            </a:extLst>
          </xdr:cNvPr>
          <xdr:cNvGrpSpPr/>
        </xdr:nvGrpSpPr>
        <xdr:grpSpPr>
          <a:xfrm>
            <a:off x="619125" y="8020022"/>
            <a:ext cx="5353050" cy="1828828"/>
            <a:chOff x="562285" y="7734300"/>
            <a:chExt cx="5318320" cy="1828828"/>
          </a:xfrm>
        </xdr:grpSpPr>
        <xdr:sp macro="" textlink="">
          <xdr:nvSpPr>
            <xdr:cNvPr id="127" name="testo_Passaggio"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sai che il valore di ricerca esiste, ma vuoi nascondere l'errore se la cella di ricerca è vuota, puoi usare l'istruzione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questo caso, integriamo la formula CERCA.VERT esistente nella cella D43 in questo modo: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=SE(C43="";"";CERCA.VERT(C43;C37:D41;2;FALSO))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Questo significa: "se la cella C43 equivale a niente (""), non restituire niente, altrimenti restituisci i risultati di CERCA.VERT". Nota la seconda parentesi di chiusura alla fine della formula, che conclude l'istruzione 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forma_Passaggio"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124" name="Gruppo 123">
            <a:extLst>
              <a:ext uri="{FF2B5EF4-FFF2-40B4-BE49-F238E27FC236}">
                <a16:creationId xmlns:a16="http://schemas.microsoft.com/office/drawing/2014/main" id="{E6606029-FD51-46CF-AFBE-ED7D2B796703}"/>
              </a:ext>
            </a:extLst>
          </xdr:cNvPr>
          <xdr:cNvGrpSpPr/>
        </xdr:nvGrpSpPr>
        <xdr:grpSpPr>
          <a:xfrm>
            <a:off x="619125" y="9848822"/>
            <a:ext cx="5229624" cy="1724053"/>
            <a:chOff x="11201400" y="3619500"/>
            <a:chExt cx="5229624" cy="1724053"/>
          </a:xfrm>
        </xdr:grpSpPr>
        <xdr:sp macro="" textlink="">
          <xdr:nvSpPr>
            <xdr:cNvPr id="125" name="testo_Passaggio" descr="Se non sei certo che il valore di ricerca esista ma vuoi comunque nascondere l'errore #N/D, puoi usare una funzione di gestione degli errori denominata SE.ERRORE nella cella G43: =SE.ERRORE(CERCA.VERT(F43;F37:G41;2;FALSO);&quot;&quot;). SE.ERRORE indica: se CERCA.VERT restituisce un risultato valido, visualizzalo, altrimenti non visualizzare niente (&quot;&quot;). In questo caso non viene visualizzato niente (&quot;&quot;), ma si possono anche usare numeri (0,1, 2 e così via) o un testo, ad esempio &quot;La formula non è corretta&quot;.&#10;&#10;">
              <a:extLst>
                <a:ext uri="{FF2B5EF4-FFF2-40B4-BE49-F238E27FC236}">
                  <a16:creationId xmlns:a16="http://schemas.microsoft.com/office/drawing/2014/main" id="{250F4D35-4886-4A69-B7A9-2E3BC66C4614}"/>
                </a:ext>
              </a:extLst>
            </xdr:cNvPr>
            <xdr:cNvSpPr txBox="1"/>
          </xdr:nvSpPr>
          <xdr:spPr>
            <a:xfrm>
              <a:off x="11621281" y="3709083"/>
              <a:ext cx="4809743" cy="1634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non hai la certezza che il valore di ricerca esista ma vuoi comunque nascondere l'errore #N/D, puoi usare una funzione di gestione degli errori denominata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 cella G43: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=SE.ERRORE(CERCA.VERT(F43;F37:G41;2;FALSO);"")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indica: "se CERCA.VERT restituisce un risultato valido, visualizzalo, altrimenti non visualizzare niente (""). In questo caso non viene visualizzato niente (""), ma si possono anche usare numeri (0,1, 2 e così via) o un testo, ad esempio "La formula non è corretta".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forma_Passaggio"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58</xdr:row>
      <xdr:rowOff>190472</xdr:rowOff>
    </xdr:from>
    <xdr:to>
      <xdr:col>1</xdr:col>
      <xdr:colOff>998945</xdr:colOff>
      <xdr:row>60</xdr:row>
      <xdr:rowOff>144921</xdr:rowOff>
    </xdr:to>
    <xdr:sp macro="" textlink="">
      <xdr:nvSpPr>
        <xdr:cNvPr id="129" name="PulsanteIndietro" descr="Torna al foglio precedente">
          <a:hlinkClick xmlns:r="http://schemas.openxmlformats.org/officeDocument/2006/relationships" r:id="rId10" tooltip="Fai clic qui per tornare al foglio precedente"/>
          <a:extLst>
            <a:ext uri="{FF2B5EF4-FFF2-40B4-BE49-F238E27FC236}">
              <a16:creationId xmlns:a16="http://schemas.microsoft.com/office/drawing/2014/main" id="{049FDD6C-0419-436A-A64D-A3B2D630D4B4}"/>
            </a:ext>
          </a:extLst>
        </xdr:cNvPr>
        <xdr:cNvSpPr/>
      </xdr:nvSpPr>
      <xdr:spPr>
        <a:xfrm flipH="1">
          <a:off x="571500" y="1181097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3665586</xdr:colOff>
      <xdr:row>58</xdr:row>
      <xdr:rowOff>190472</xdr:rowOff>
    </xdr:from>
    <xdr:to>
      <xdr:col>1</xdr:col>
      <xdr:colOff>4940756</xdr:colOff>
      <xdr:row>60</xdr:row>
      <xdr:rowOff>144921</xdr:rowOff>
    </xdr:to>
    <xdr:sp macro="" textlink="">
      <xdr:nvSpPr>
        <xdr:cNvPr id="130" name="PulsanteAvanti" descr="Passa al foglio successivo">
          <a:hlinkClick xmlns:r="http://schemas.openxmlformats.org/officeDocument/2006/relationships" r:id="rId1" tooltip="Fai clic qui per passare al foglio di lavoro successivo"/>
          <a:extLst>
            <a:ext uri="{FF2B5EF4-FFF2-40B4-BE49-F238E27FC236}">
              <a16:creationId xmlns:a16="http://schemas.microsoft.com/office/drawing/2014/main" id="{7E521B5B-4F6E-46CF-9081-B282E69CE49D}"/>
            </a:ext>
          </a:extLst>
        </xdr:cNvPr>
        <xdr:cNvSpPr/>
      </xdr:nvSpPr>
      <xdr:spPr>
        <a:xfrm>
          <a:off x="4513311" y="1181097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3</xdr:col>
      <xdr:colOff>428626</xdr:colOff>
      <xdr:row>43</xdr:row>
      <xdr:rowOff>76207</xdr:rowOff>
    </xdr:from>
    <xdr:to>
      <xdr:col>9</xdr:col>
      <xdr:colOff>285751</xdr:colOff>
      <xdr:row>55</xdr:row>
      <xdr:rowOff>28573</xdr:rowOff>
    </xdr:to>
    <xdr:grpSp>
      <xdr:nvGrpSpPr>
        <xdr:cNvPr id="131" name="DETTAGLIO IMPORTANTE" descr="DETTAGLIO IMPORTANTE&#10;&#10;">
          <a:extLst>
            <a:ext uri="{FF2B5EF4-FFF2-40B4-BE49-F238E27FC236}">
              <a16:creationId xmlns:a16="http://schemas.microsoft.com/office/drawing/2014/main" id="{321AE9BC-CB50-4E20-92DE-ED300BC55383}"/>
            </a:ext>
          </a:extLst>
        </xdr:cNvPr>
        <xdr:cNvGrpSpPr/>
      </xdr:nvGrpSpPr>
      <xdr:grpSpPr>
        <a:xfrm>
          <a:off x="7686676" y="8839207"/>
          <a:ext cx="3848100" cy="2238366"/>
          <a:chOff x="6788150" y="10960177"/>
          <a:chExt cx="3989022" cy="2161914"/>
        </a:xfrm>
      </xdr:grpSpPr>
      <xdr:sp macro="" textlink="">
        <xdr:nvSpPr>
          <xdr:cNvPr id="132" name="Istruzione"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1" i="0" kern="1200" baseline="0">
                <a:solidFill>
                  <a:schemeClr val="dk1"/>
                </a:solidFill>
                <a:effectLst/>
                <a:latin typeface="+mn-lt"/>
                <a:ea typeface="+mn-ea"/>
                <a:cs typeface="+mn-cs"/>
              </a:rPr>
              <a:t>SE.ERRORE </a:t>
            </a:r>
            <a:r>
              <a:rPr lang="it" sz="1100" b="0" i="0" kern="1200" baseline="0">
                <a:solidFill>
                  <a:schemeClr val="dk1"/>
                </a:solidFill>
                <a:effectLst/>
                <a:latin typeface="+mn-lt"/>
                <a:ea typeface="+mn-ea"/>
                <a:cs typeface="+mn-cs"/>
              </a:rPr>
              <a:t>è un gestore di errori che rimuove la visualizzazione di tutti gli errori che possono essere generati dalla formula. Questo può causare problemi se Excel notifica che nella formula è presente un errore effettivo che deve essere risolto.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t" sz="1100" b="0" i="0" kern="1200" baseline="0">
                <a:solidFill>
                  <a:schemeClr val="dk1"/>
                </a:solidFill>
                <a:effectLst/>
                <a:latin typeface="+mn-lt"/>
                <a:ea typeface="+mn-ea"/>
                <a:cs typeface="+mn-cs"/>
              </a:rPr>
              <a:t>In generale è preferibile non aggiungere gestori di errori alle formule se non si è assolutamente certi che funzionino correttamente.</a:t>
            </a:r>
            <a:endParaRPr lang="en-US" sz="1100">
              <a:effectLst/>
            </a:endParaRPr>
          </a:p>
        </xdr:txBody>
      </xdr:sp>
      <xdr:pic>
        <xdr:nvPicPr>
          <xdr:cNvPr id="133" name="Lente di ingrandimento" descr="Lente di ingrandimento">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Freccia" descr="Freccia">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100019</xdr:colOff>
      <xdr:row>6</xdr:row>
      <xdr:rowOff>66655</xdr:rowOff>
    </xdr:from>
    <xdr:to>
      <xdr:col>1</xdr:col>
      <xdr:colOff>4486274</xdr:colOff>
      <xdr:row>19</xdr:row>
      <xdr:rowOff>113871</xdr:rowOff>
    </xdr:to>
    <xdr:grpSp>
      <xdr:nvGrpSpPr>
        <xdr:cNvPr id="135" name="Gruppo 134">
          <a:extLst>
            <a:ext uri="{FF2B5EF4-FFF2-40B4-BE49-F238E27FC236}">
              <a16:creationId xmlns:a16="http://schemas.microsoft.com/office/drawing/2014/main" id="{6CD3A2DF-2D37-45A6-9A63-6B14AFC74B8A}"/>
            </a:ext>
          </a:extLst>
        </xdr:cNvPr>
        <xdr:cNvGrpSpPr/>
      </xdr:nvGrpSpPr>
      <xdr:grpSpPr>
        <a:xfrm>
          <a:off x="947744" y="1781155"/>
          <a:ext cx="4386255" cy="2523716"/>
          <a:chOff x="2943225" y="1476375"/>
          <a:chExt cx="4386255" cy="2523716"/>
        </a:xfrm>
      </xdr:grpSpPr>
      <xdr:sp macro="" textlink="">
        <xdr:nvSpPr>
          <xdr:cNvPr id="136" name="ParentesiGraffaFormulaInferiore">
            <a:extLst>
              <a:ext uri="{FF2B5EF4-FFF2-40B4-BE49-F238E27FC236}">
                <a16:creationId xmlns:a16="http://schemas.microsoft.com/office/drawing/2014/main" id="{C914B05B-1B48-413D-9651-8935235A015E}"/>
              </a:ext>
            </a:extLst>
          </xdr:cNvPr>
          <xdr:cNvSpPr/>
        </xdr:nvSpPr>
        <xdr:spPr>
          <a:xfrm rot="16200000">
            <a:off x="628319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ParentesiGraffaFormulaInferiore">
            <a:extLst>
              <a:ext uri="{FF2B5EF4-FFF2-40B4-BE49-F238E27FC236}">
                <a16:creationId xmlns:a16="http://schemas.microsoft.com/office/drawing/2014/main" id="{9BCA2C0E-7101-41BF-ADB8-82304B7CF009}"/>
              </a:ext>
            </a:extLst>
          </xdr:cNvPr>
          <xdr:cNvSpPr/>
        </xdr:nvSpPr>
        <xdr:spPr>
          <a:xfrm rot="16200000">
            <a:off x="52627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ParentesiGraffaFormulaSuperiore">
            <a:extLst>
              <a:ext uri="{FF2B5EF4-FFF2-40B4-BE49-F238E27FC236}">
                <a16:creationId xmlns:a16="http://schemas.microsoft.com/office/drawing/2014/main" id="{DB0B9C93-8027-4F56-A17E-B56ECC2D8969}"/>
              </a:ext>
            </a:extLst>
          </xdr:cNvPr>
          <xdr:cNvSpPr/>
        </xdr:nvSpPr>
        <xdr:spPr>
          <a:xfrm rot="5400000">
            <a:off x="5687875"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ParentesiGraffaFormulaSuperiore">
            <a:extLst>
              <a:ext uri="{FF2B5EF4-FFF2-40B4-BE49-F238E27FC236}">
                <a16:creationId xmlns:a16="http://schemas.microsoft.com/office/drawing/2014/main" id="{50351C48-F813-453E-A211-80A7D5397B0D}"/>
              </a:ext>
            </a:extLst>
          </xdr:cNvPr>
          <xdr:cNvSpPr/>
        </xdr:nvSpPr>
        <xdr:spPr>
          <a:xfrm rot="5400000">
            <a:off x="4648376"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esto_Formula" descr="=CERCA.VERT(A1;B:C;2;FALSO)&#10;">
            <a:extLst>
              <a:ext uri="{FF2B5EF4-FFF2-40B4-BE49-F238E27FC236}">
                <a16:creationId xmlns:a16="http://schemas.microsoft.com/office/drawing/2014/main" id="{786BBFD9-F72E-4EA3-96E4-7C14F0A569CB}"/>
              </a:ext>
            </a:extLst>
          </xdr:cNvPr>
          <xdr:cNvSpPr txBox="1"/>
        </xdr:nvSpPr>
        <xdr:spPr>
          <a:xfrm>
            <a:off x="2943225" y="2476500"/>
            <a:ext cx="4367206"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=CERCA.VERT(A1;B:C;2;FALSO)</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esto_CalloutFormulaSuperiore" descr="Cosa vuoi cercare?&#10;&#10;">
            <a:extLst>
              <a:ext uri="{FF2B5EF4-FFF2-40B4-BE49-F238E27FC236}">
                <a16:creationId xmlns:a16="http://schemas.microsoft.com/office/drawing/2014/main" id="{6F5BDB75-1135-403E-AEFC-247F7625DDEB}"/>
              </a:ext>
            </a:extLst>
          </xdr:cNvPr>
          <xdr:cNvSpPr txBox="1">
            <a:spLocks noChangeArrowheads="1"/>
          </xdr:cNvSpPr>
        </xdr:nvSpPr>
        <xdr:spPr bwMode="auto">
          <a:xfrm>
            <a:off x="4467225"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Cosa vuoi cercare?</a:t>
            </a:r>
          </a:p>
        </xdr:txBody>
      </xdr:sp>
      <xdr:sp macro="" textlink="">
        <xdr:nvSpPr>
          <xdr:cNvPr id="142" name="testo_CalloutFormulaSuperiore" descr="Se lo trovi, quante colonne a destra vuoi ottenere un valore?&#10;">
            <a:extLst>
              <a:ext uri="{FF2B5EF4-FFF2-40B4-BE49-F238E27FC236}">
                <a16:creationId xmlns:a16="http://schemas.microsoft.com/office/drawing/2014/main" id="{18D133B9-5AB0-40F3-B62C-4B60B0FDC556}"/>
              </a:ext>
            </a:extLst>
          </xdr:cNvPr>
          <xdr:cNvSpPr txBox="1">
            <a:spLocks noChangeArrowheads="1"/>
          </xdr:cNvSpPr>
        </xdr:nvSpPr>
        <xdr:spPr bwMode="auto">
          <a:xfrm>
            <a:off x="5529263"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Se lo trovi, quante colonne a destra vuoi ottenere un valore?</a:t>
            </a:r>
          </a:p>
        </xdr:txBody>
      </xdr:sp>
      <xdr:sp macro="" textlink="">
        <xdr:nvSpPr>
          <xdr:cNvPr id="143" name="testo_CalloutFormulaInferiore" descr="Dove lo vuoi cercare?&#10;">
            <a:extLst>
              <a:ext uri="{FF2B5EF4-FFF2-40B4-BE49-F238E27FC236}">
                <a16:creationId xmlns:a16="http://schemas.microsoft.com/office/drawing/2014/main" id="{7A0BF5A2-0462-4CFA-A98B-D5D3A7DC336D}"/>
              </a:ext>
            </a:extLst>
          </xdr:cNvPr>
          <xdr:cNvSpPr txBox="1">
            <a:spLocks noChangeArrowheads="1"/>
          </xdr:cNvSpPr>
        </xdr:nvSpPr>
        <xdr:spPr bwMode="auto">
          <a:xfrm>
            <a:off x="504825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Dove lo vuoi cercare?</a:t>
            </a:r>
          </a:p>
        </xdr:txBody>
      </xdr:sp>
      <xdr:sp macro="" textlink="">
        <xdr:nvSpPr>
          <xdr:cNvPr id="144" name="testo_CalloutFormulaInferiore" descr="Vuoi una corrispondenza esatta o approssimativa?&#10;">
            <a:extLst>
              <a:ext uri="{FF2B5EF4-FFF2-40B4-BE49-F238E27FC236}">
                <a16:creationId xmlns:a16="http://schemas.microsoft.com/office/drawing/2014/main" id="{B53691DA-0A76-4040-8DEE-B27DBF05FE8C}"/>
              </a:ext>
            </a:extLst>
          </xdr:cNvPr>
          <xdr:cNvSpPr txBox="1">
            <a:spLocks noChangeArrowheads="1"/>
          </xdr:cNvSpPr>
        </xdr:nvSpPr>
        <xdr:spPr bwMode="auto">
          <a:xfrm>
            <a:off x="6129337" y="3105150"/>
            <a:ext cx="1200143"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Vuoi una corrispondenza esatta o approssimativa?</a:t>
            </a:r>
          </a:p>
        </xdr:txBody>
      </xdr:sp>
    </xdr:grpSp>
    <xdr:clientData/>
  </xdr:twoCellAnchor>
  <xdr:twoCellAnchor>
    <xdr:from>
      <xdr:col>2</xdr:col>
      <xdr:colOff>830184</xdr:colOff>
      <xdr:row>22</xdr:row>
      <xdr:rowOff>66674</xdr:rowOff>
    </xdr:from>
    <xdr:to>
      <xdr:col>8</xdr:col>
      <xdr:colOff>412238</xdr:colOff>
      <xdr:row>28</xdr:row>
      <xdr:rowOff>146779</xdr:rowOff>
    </xdr:to>
    <xdr:grpSp>
      <xdr:nvGrpSpPr>
        <xdr:cNvPr id="4" name="Gruppo 3">
          <a:extLst>
            <a:ext uri="{FF2B5EF4-FFF2-40B4-BE49-F238E27FC236}">
              <a16:creationId xmlns:a16="http://schemas.microsoft.com/office/drawing/2014/main" id="{089FFE6E-D9A5-469F-8731-5F616E56C80F}"/>
            </a:ext>
          </a:extLst>
        </xdr:cNvPr>
        <xdr:cNvGrpSpPr/>
      </xdr:nvGrpSpPr>
      <xdr:grpSpPr>
        <a:xfrm>
          <a:off x="7202409" y="4829174"/>
          <a:ext cx="3868304" cy="1223105"/>
          <a:chOff x="7726284" y="4829174"/>
          <a:chExt cx="4158817" cy="1223105"/>
        </a:xfrm>
      </xdr:grpSpPr>
      <xdr:grpSp>
        <xdr:nvGrpSpPr>
          <xdr:cNvPr id="108" name="Gruppo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Passaggio"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ESPERIMENTO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Prova a selezionare</a:t>
              </a:r>
              <a:r>
                <a:rPr lang="it" sz="1100" kern="0" baseline="0">
                  <a:solidFill>
                    <a:schemeClr val="bg2">
                      <a:lumMod val="25000"/>
                    </a:schemeClr>
                  </a:solidFill>
                  <a:latin typeface="+mn-lt"/>
                  <a:ea typeface="Segoe UI" pitchFamily="34" charset="0"/>
                  <a:cs typeface="Segoe UI Light" panose="020B0502040204020203" pitchFamily="34" charset="0"/>
                </a:rPr>
                <a:t> altri articoli negli elenchi a discesa. Noterai che i valori nelle celle dei risultati vengono aggiornati immediatamente.</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Elemento grafico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ParentesiGraffaFormulaInferiore">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Passaggio" descr="Digita =SOMMA(D4:D7) e premi INVIO. Al termine vedrai il risultato, ovvero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313844</xdr:colOff>
      <xdr:row>123</xdr:row>
      <xdr:rowOff>9536</xdr:rowOff>
    </xdr:from>
    <xdr:to>
      <xdr:col>9</xdr:col>
      <xdr:colOff>157156</xdr:colOff>
      <xdr:row>132</xdr:row>
      <xdr:rowOff>39573</xdr:rowOff>
    </xdr:to>
    <xdr:grpSp>
      <xdr:nvGrpSpPr>
        <xdr:cNvPr id="88" name="INFORMAZIONI UTILI"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533794" y="24079211"/>
          <a:ext cx="4529612" cy="1754062"/>
          <a:chOff x="5592737" y="15514765"/>
          <a:chExt cx="4717259" cy="1684797"/>
        </a:xfrm>
      </xdr:grpSpPr>
      <xdr:sp macro="" textlink="">
        <xdr:nvSpPr>
          <xdr:cNvPr id="92" name="Passaggio"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142155" y="15573962"/>
            <a:ext cx="316784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Fai doppio clic sulla cella e noterai che la formula è diversa. In particolare, il criterio per la somma è "&gt;=50", che significa maggiore o uguale a 50. Si possono usare altri operatori, ad esempio "&lt;=50" che significa</a:t>
            </a:r>
            <a:r>
              <a:rPr lang="it" sz="1100" b="0" i="1" kern="1200" baseline="0">
                <a:solidFill>
                  <a:schemeClr val="dk1"/>
                </a:solidFill>
                <a:effectLst/>
                <a:latin typeface="+mn-lt"/>
                <a:ea typeface="+mn-ea"/>
                <a:cs typeface="+mn-cs"/>
              </a:rPr>
              <a:t> minore o uguale a</a:t>
            </a:r>
            <a:r>
              <a:rPr lang="it" sz="1100" b="0" i="0" kern="1200" baseline="0">
                <a:solidFill>
                  <a:schemeClr val="dk1"/>
                </a:solidFill>
                <a:effectLst/>
                <a:latin typeface="+mn-lt"/>
                <a:ea typeface="+mn-ea"/>
                <a:cs typeface="+mn-cs"/>
              </a:rPr>
              <a:t> 50. Esiste anche "&lt;&gt;50", che significa </a:t>
            </a:r>
            <a:r>
              <a:rPr lang="it" sz="1100" b="0" i="1" kern="1200" baseline="0">
                <a:solidFill>
                  <a:schemeClr val="dk1"/>
                </a:solidFill>
                <a:effectLst/>
                <a:latin typeface="+mn-lt"/>
                <a:ea typeface="+mn-ea"/>
                <a:cs typeface="+mn-cs"/>
              </a:rPr>
              <a:t>non uguale a 50</a:t>
            </a:r>
            <a:r>
              <a:rPr lang="it" sz="1100" b="0" i="0" kern="1200" baseline="0">
                <a:solidFill>
                  <a:schemeClr val="dk1"/>
                </a:solidFill>
                <a:effectLst/>
                <a:latin typeface="+mn-lt"/>
                <a:ea typeface="+mn-ea"/>
                <a:cs typeface="+mn-cs"/>
              </a:rPr>
              <a:t>. </a:t>
            </a:r>
            <a:endParaRPr lang="en-US" sz="1100">
              <a:effectLst/>
              <a:latin typeface="+mn-lt"/>
            </a:endParaRPr>
          </a:p>
        </xdr:txBody>
      </xdr:sp>
      <xdr:pic>
        <xdr:nvPicPr>
          <xdr:cNvPr id="93" name="Elemento grafico 147" descr="Occhiali">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77822" y="15537367"/>
            <a:ext cx="323347" cy="349115"/>
          </a:xfrm>
          <a:prstGeom prst="rect">
            <a:avLst/>
          </a:prstGeom>
        </xdr:spPr>
      </xdr:pic>
      <xdr:sp macro="" textlink="">
        <xdr:nvSpPr>
          <xdr:cNvPr id="94" name="Figura a mano libera: forma 93" descr="Freccia">
            <a:extLst>
              <a:ext uri="{FF2B5EF4-FFF2-40B4-BE49-F238E27FC236}">
                <a16:creationId xmlns:a16="http://schemas.microsoft.com/office/drawing/2014/main" id="{15104F1B-103C-46F0-AEAD-84159160100C}"/>
              </a:ext>
            </a:extLst>
          </xdr:cNvPr>
          <xdr:cNvSpPr/>
        </xdr:nvSpPr>
        <xdr:spPr>
          <a:xfrm rot="15646966" flipH="1" flipV="1">
            <a:off x="6053038"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135</xdr:row>
      <xdr:rowOff>104776</xdr:rowOff>
    </xdr:from>
    <xdr:to>
      <xdr:col>1</xdr:col>
      <xdr:colOff>5229224</xdr:colOff>
      <xdr:row>156</xdr:row>
      <xdr:rowOff>27441</xdr:rowOff>
    </xdr:to>
    <xdr:grpSp>
      <xdr:nvGrpSpPr>
        <xdr:cNvPr id="2" name="Gruppo 1">
          <a:extLst>
            <a:ext uri="{FF2B5EF4-FFF2-40B4-BE49-F238E27FC236}">
              <a16:creationId xmlns:a16="http://schemas.microsoft.com/office/drawing/2014/main" id="{F31110CC-1652-426F-8A11-3D24DC9CD3D1}"/>
            </a:ext>
          </a:extLst>
        </xdr:cNvPr>
        <xdr:cNvGrpSpPr/>
      </xdr:nvGrpSpPr>
      <xdr:grpSpPr>
        <a:xfrm>
          <a:off x="352424" y="26469976"/>
          <a:ext cx="5724525" cy="3923165"/>
          <a:chOff x="447674" y="25631776"/>
          <a:chExt cx="5724525" cy="3762374"/>
        </a:xfrm>
      </xdr:grpSpPr>
      <xdr:sp macro="" textlink="">
        <xdr:nvSpPr>
          <xdr:cNvPr id="152" name="Rettangolo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Passaggio" descr="Altre informazioni sul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Connettore diritto 157" descr="Linea decorativa">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nettore diritto 163" descr="Linea decorativa">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47</xdr:row>
      <xdr:rowOff>171450</xdr:rowOff>
    </xdr:to>
    <xdr:sp macro="" textlink="">
      <xdr:nvSpPr>
        <xdr:cNvPr id="168" name="Sfondo" descr="Sfondo">
          <a:extLst>
            <a:ext uri="{FF2B5EF4-FFF2-40B4-BE49-F238E27FC236}">
              <a16:creationId xmlns:a16="http://schemas.microsoft.com/office/drawing/2014/main" id="{E6C939DA-20FC-4617-9AC0-0E0FD53C0BBC}"/>
            </a:ext>
          </a:extLst>
        </xdr:cNvPr>
        <xdr:cNvSpPr/>
      </xdr:nvSpPr>
      <xdr:spPr>
        <a:xfrm>
          <a:off x="342900" y="352425"/>
          <a:ext cx="5734050" cy="93440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Linea inferiore" descr="Linea decorativa">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Passaggio" descr="Funzioni condizionali: SOMMA.SE&#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Funzioni condizionali: SOMMA.SE</a:t>
          </a:r>
        </a:p>
      </xdr:txBody>
    </xdr:sp>
    <xdr:clientData/>
  </xdr:twoCellAnchor>
  <xdr:twoCellAnchor editAs="absolute">
    <xdr:from>
      <xdr:col>0</xdr:col>
      <xdr:colOff>547701</xdr:colOff>
      <xdr:row>43</xdr:row>
      <xdr:rowOff>87842</xdr:rowOff>
    </xdr:from>
    <xdr:to>
      <xdr:col>1</xdr:col>
      <xdr:colOff>4948224</xdr:colOff>
      <xdr:row>43</xdr:row>
      <xdr:rowOff>87842</xdr:rowOff>
    </xdr:to>
    <xdr:cxnSp macro="">
      <xdr:nvCxnSpPr>
        <xdr:cNvPr id="171" name="Linea inferiore" descr="Linea decorativa">
          <a:extLst>
            <a:ext uri="{FF2B5EF4-FFF2-40B4-BE49-F238E27FC236}">
              <a16:creationId xmlns:a16="http://schemas.microsoft.com/office/drawing/2014/main" id="{CDE7F952-1938-4D52-9DF8-081F00B24DBB}"/>
            </a:ext>
          </a:extLst>
        </xdr:cNvPr>
        <xdr:cNvCxnSpPr>
          <a:cxnSpLocks/>
        </xdr:cNvCxnSpPr>
      </xdr:nvCxnSpPr>
      <xdr:spPr>
        <a:xfrm>
          <a:off x="547701" y="88508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57149</xdr:rowOff>
    </xdr:from>
    <xdr:to>
      <xdr:col>1</xdr:col>
      <xdr:colOff>5024713</xdr:colOff>
      <xdr:row>7</xdr:row>
      <xdr:rowOff>28574</xdr:rowOff>
    </xdr:to>
    <xdr:sp macro="" textlink="">
      <xdr:nvSpPr>
        <xdr:cNvPr id="172" name="Introduzione alla somma di numeri" descr="Le funzioni condizionali consentono di calcolare la somma, la media e il conteggio o di ottenere il valore minimo e massimo di un intervallo in base a una condizione o a un criterio specificato. Ad esempio, si può calcolare quante mele ci sono tra tutti i frutti inclusi nell'elenco. Oppure il numero di arance di tipo Florida.&#10;">
          <a:extLst>
            <a:ext uri="{FF2B5EF4-FFF2-40B4-BE49-F238E27FC236}">
              <a16:creationId xmlns:a16="http://schemas.microsoft.com/office/drawing/2014/main" id="{9A24D79D-F087-4F19-ACAE-4CAC391FF978}"/>
            </a:ext>
          </a:extLst>
        </xdr:cNvPr>
        <xdr:cNvSpPr txBox="1"/>
      </xdr:nvSpPr>
      <xdr:spPr>
        <a:xfrm>
          <a:off x="571500" y="1009649"/>
          <a:ext cx="5300938"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kern="1200" spc="-30">
              <a:solidFill>
                <a:schemeClr val="tx1">
                  <a:lumMod val="75000"/>
                  <a:lumOff val="25000"/>
                </a:schemeClr>
              </a:solidFill>
              <a:latin typeface="Segoe UI" panose="020B0502040204020203" pitchFamily="34" charset="0"/>
              <a:ea typeface="+mn-ea"/>
              <a:cs typeface="Segoe UI" panose="020B0502040204020203" pitchFamily="34" charset="0"/>
            </a:rPr>
            <a:t>Le funzioni condizionali consentono di calcolare la somma, la media e il conteggio o di ottenere il valore minimo o massimo di un intervallo in base a una condizione o a un criterio specificato. Ad esempio</a:t>
          </a:r>
          <a:r>
            <a:rPr lang="it" sz="1100" kern="1200" spc="-30" baseline="0">
              <a:solidFill>
                <a:schemeClr val="tx1">
                  <a:lumMod val="75000"/>
                  <a:lumOff val="25000"/>
                </a:schemeClr>
              </a:solidFill>
              <a:latin typeface="Segoe UI" panose="020B0502040204020203" pitchFamily="34" charset="0"/>
              <a:ea typeface="+mn-ea"/>
              <a:cs typeface="Segoe UI" panose="020B0502040204020203" pitchFamily="34" charset="0"/>
            </a:rPr>
            <a:t>, si può calcolare quante mele ci sono tra tutti i frutti inclusi nell'elenco. In alternativa, si può calcolare il numero di arance di tipo Florida.</a:t>
          </a: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523788</xdr:colOff>
      <xdr:row>7</xdr:row>
      <xdr:rowOff>38100</xdr:rowOff>
    </xdr:from>
    <xdr:to>
      <xdr:col>1</xdr:col>
      <xdr:colOff>4915231</xdr:colOff>
      <xdr:row>12</xdr:row>
      <xdr:rowOff>123824</xdr:rowOff>
    </xdr:to>
    <xdr:grpSp>
      <xdr:nvGrpSpPr>
        <xdr:cNvPr id="5" name="Gruppo 4">
          <a:extLst>
            <a:ext uri="{FF2B5EF4-FFF2-40B4-BE49-F238E27FC236}">
              <a16:creationId xmlns:a16="http://schemas.microsoft.com/office/drawing/2014/main" id="{8A59968F-9E53-4DA4-A0EC-0D567AB08F0D}"/>
            </a:ext>
          </a:extLst>
        </xdr:cNvPr>
        <xdr:cNvGrpSpPr/>
      </xdr:nvGrpSpPr>
      <xdr:grpSpPr>
        <a:xfrm>
          <a:off x="523788" y="1943100"/>
          <a:ext cx="5239168" cy="1038224"/>
          <a:chOff x="571500" y="1771650"/>
          <a:chExt cx="5229626" cy="1038224"/>
        </a:xfrm>
      </xdr:grpSpPr>
      <xdr:sp macro="" textlink="">
        <xdr:nvSpPr>
          <xdr:cNvPr id="174" name="testo_Passaggio" descr="SOMMA.SE consente di sommare in un intervallo sulla base di un criterio specifico cercato in un altro intervallo, come il numero di mele. Seleziona D17 e digita =SOMMA.SE(C3:C14,C17,D3:D14). La funzione SOMMA.SE è strutturata in questo modo:&#10;">
            <a:extLst>
              <a:ext uri="{FF2B5EF4-FFF2-40B4-BE49-F238E27FC236}">
                <a16:creationId xmlns:a16="http://schemas.microsoft.com/office/drawing/2014/main" id="{2D2520E8-CC78-428A-A2A1-03FB76DC9AF2}"/>
              </a:ext>
            </a:extLst>
          </xdr:cNvPr>
          <xdr:cNvSpPr txBox="1"/>
        </xdr:nvSpPr>
        <xdr:spPr>
          <a:xfrm>
            <a:off x="991382" y="1813607"/>
            <a:ext cx="4809744" cy="996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consente di sommare in un intervallo sulla base di un criterio specifico cercato in un altro intervallo, come il numero di mele. Seleziona la cella D17 e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=SOMMA.SE(C3:C14;C17;D3:D14)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è strutturata in questo modo:</a:t>
            </a:r>
          </a:p>
        </xdr:txBody>
      </xdr:sp>
      <xdr:sp macro="" textlink="">
        <xdr:nvSpPr>
          <xdr:cNvPr id="175" name="forma_Passaggio"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44</xdr:row>
      <xdr:rowOff>40216</xdr:rowOff>
    </xdr:from>
    <xdr:to>
      <xdr:col>1</xdr:col>
      <xdr:colOff>4887529</xdr:colOff>
      <xdr:row>46</xdr:row>
      <xdr:rowOff>16815</xdr:rowOff>
    </xdr:to>
    <xdr:sp macro="" textlink="">
      <xdr:nvSpPr>
        <xdr:cNvPr id="176" name="PulsanteAvanti" descr="Passa al foglio successivo">
          <a:hlinkClick xmlns:r="http://schemas.openxmlformats.org/officeDocument/2006/relationships" r:id="rId3" tooltip="Fai clic qui per passare al foglio di lavoro successivo"/>
          <a:extLst>
            <a:ext uri="{FF2B5EF4-FFF2-40B4-BE49-F238E27FC236}">
              <a16:creationId xmlns:a16="http://schemas.microsoft.com/office/drawing/2014/main" id="{A7F57915-4D95-47B4-A488-FB7E3D0BBF97}"/>
            </a:ext>
          </a:extLst>
        </xdr:cNvPr>
        <xdr:cNvSpPr/>
      </xdr:nvSpPr>
      <xdr:spPr>
        <a:xfrm>
          <a:off x="4591051" y="8993716"/>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652334</xdr:colOff>
      <xdr:row>152</xdr:row>
      <xdr:rowOff>115851</xdr:rowOff>
    </xdr:from>
    <xdr:to>
      <xdr:col>1</xdr:col>
      <xdr:colOff>2562832</xdr:colOff>
      <xdr:row>155</xdr:row>
      <xdr:rowOff>91014</xdr:rowOff>
    </xdr:to>
    <xdr:sp macro="" textlink="">
      <xdr:nvSpPr>
        <xdr:cNvPr id="177" name="Pulsante Successivo" descr="Torna all'inizio, con collegamento ipertestuale alla cella A1">
          <a:hlinkClick xmlns:r="http://schemas.openxmlformats.org/officeDocument/2006/relationships" r:id="rId4" tooltip="Torna all'inizio"/>
          <a:extLst>
            <a:ext uri="{FF2B5EF4-FFF2-40B4-BE49-F238E27FC236}">
              <a16:creationId xmlns:a16="http://schemas.microsoft.com/office/drawing/2014/main" id="{F1F17ADA-3374-4672-8F57-B7354AE50F61}"/>
            </a:ext>
          </a:extLst>
        </xdr:cNvPr>
        <xdr:cNvSpPr/>
      </xdr:nvSpPr>
      <xdr:spPr>
        <a:xfrm>
          <a:off x="652334" y="2971955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lientData/>
  </xdr:twoCellAnchor>
  <xdr:twoCellAnchor editAs="absolute">
    <xdr:from>
      <xdr:col>1</xdr:col>
      <xdr:colOff>3133725</xdr:colOff>
      <xdr:row>153</xdr:row>
      <xdr:rowOff>117555</xdr:rowOff>
    </xdr:from>
    <xdr:to>
      <xdr:col>1</xdr:col>
      <xdr:colOff>5027208</xdr:colOff>
      <xdr:row>155</xdr:row>
      <xdr:rowOff>93662</xdr:rowOff>
    </xdr:to>
    <xdr:sp macro="" textlink="">
      <xdr:nvSpPr>
        <xdr:cNvPr id="178" name="Pulsante Successivo" descr="Pulsante Passaggio successivo, con un collegamento ipertestuale al foglio di lavoro successivo">
          <a:hlinkClick xmlns:r="http://schemas.openxmlformats.org/officeDocument/2006/relationships" r:id="rId3" tooltip="Fai clic qui per passare al foglio di lavoro successivo"/>
          <a:extLst>
            <a:ext uri="{FF2B5EF4-FFF2-40B4-BE49-F238E27FC236}">
              <a16:creationId xmlns:a16="http://schemas.microsoft.com/office/drawing/2014/main" id="{21885DC0-F099-46D4-A1CF-17E11C390036}"/>
            </a:ext>
          </a:extLst>
        </xdr:cNvPr>
        <xdr:cNvSpPr/>
      </xdr:nvSpPr>
      <xdr:spPr>
        <a:xfrm>
          <a:off x="3981450" y="29911755"/>
          <a:ext cx="1893483" cy="357107"/>
        </a:xfrm>
        <a:prstGeom prst="rightArrowCallout">
          <a:avLst>
            <a:gd name="adj1" fmla="val 32829"/>
            <a:gd name="adj2" fmla="val 31524"/>
            <a:gd name="adj3" fmla="val 25000"/>
            <a:gd name="adj4" fmla="val 90884"/>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clientData/>
  </xdr:twoCellAnchor>
  <xdr:twoCellAnchor>
    <xdr:from>
      <xdr:col>1</xdr:col>
      <xdr:colOff>2951640</xdr:colOff>
      <xdr:row>148</xdr:row>
      <xdr:rowOff>94983</xdr:rowOff>
    </xdr:from>
    <xdr:to>
      <xdr:col>1</xdr:col>
      <xdr:colOff>4819447</xdr:colOff>
      <xdr:row>150</xdr:row>
      <xdr:rowOff>24341</xdr:rowOff>
    </xdr:to>
    <xdr:sp macro="" textlink="">
      <xdr:nvSpPr>
        <xdr:cNvPr id="179" name="Passaggio" descr="Formazione gratuita su Excel disponibile online, con collegamento ipertestuale al Web&#10;">
          <a:hlinkClick xmlns:r="http://schemas.openxmlformats.org/officeDocument/2006/relationships" r:id="rId5" tooltip="Seleziona per ottenere informazioni sulle risorse di formazione gratuita su Excel sul Web"/>
          <a:extLst>
            <a:ext uri="{FF2B5EF4-FFF2-40B4-BE49-F238E27FC236}">
              <a16:creationId xmlns:a16="http://schemas.microsoft.com/office/drawing/2014/main" id="{8052CE9F-9F0B-4E5C-BCC9-9FAF4B271CC6}"/>
            </a:ext>
          </a:extLst>
        </xdr:cNvPr>
        <xdr:cNvSpPr txBox="1"/>
      </xdr:nvSpPr>
      <xdr:spPr>
        <a:xfrm>
          <a:off x="3799365" y="28936683"/>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clientData/>
  </xdr:twoCellAnchor>
  <xdr:twoCellAnchor>
    <xdr:from>
      <xdr:col>1</xdr:col>
      <xdr:colOff>2486456</xdr:colOff>
      <xdr:row>148</xdr:row>
      <xdr:rowOff>89421</xdr:rowOff>
    </xdr:from>
    <xdr:to>
      <xdr:col>1</xdr:col>
      <xdr:colOff>2981188</xdr:colOff>
      <xdr:row>150</xdr:row>
      <xdr:rowOff>163253</xdr:rowOff>
    </xdr:to>
    <xdr:pic>
      <xdr:nvPicPr>
        <xdr:cNvPr id="180"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4181" y="28931121"/>
          <a:ext cx="494732" cy="454832"/>
        </a:xfrm>
        <a:prstGeom prst="rect">
          <a:avLst/>
        </a:prstGeom>
      </xdr:spPr>
    </xdr:pic>
    <xdr:clientData/>
  </xdr:twoCellAnchor>
  <xdr:twoCellAnchor>
    <xdr:from>
      <xdr:col>1</xdr:col>
      <xdr:colOff>2951641</xdr:colOff>
      <xdr:row>146</xdr:row>
      <xdr:rowOff>28180</xdr:rowOff>
    </xdr:from>
    <xdr:to>
      <xdr:col>1</xdr:col>
      <xdr:colOff>5221505</xdr:colOff>
      <xdr:row>147</xdr:row>
      <xdr:rowOff>154666</xdr:rowOff>
    </xdr:to>
    <xdr:sp macro="" textlink="">
      <xdr:nvSpPr>
        <xdr:cNvPr id="181" name="Passaggio" descr="Informazioni complete sulla funzione MAX.PIÙ.SE, con collegamento ipertestuale al Web&#10;&#10;">
          <a:hlinkClick xmlns:r="http://schemas.openxmlformats.org/officeDocument/2006/relationships" r:id="rId8" tooltip="Seleziona per ottenere informazioni complete dal Web sulla funzione MAX.PIÙ.SE"/>
          <a:extLst>
            <a:ext uri="{FF2B5EF4-FFF2-40B4-BE49-F238E27FC236}">
              <a16:creationId xmlns:a16="http://schemas.microsoft.com/office/drawing/2014/main" id="{3FFDC6A0-9831-442E-AB6B-F06D71AAAD14}"/>
            </a:ext>
          </a:extLst>
        </xdr:cNvPr>
        <xdr:cNvSpPr txBox="1"/>
      </xdr:nvSpPr>
      <xdr:spPr>
        <a:xfrm>
          <a:off x="3799366" y="28488880"/>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MAX.PIÙ.SE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1</xdr:col>
      <xdr:colOff>2486456</xdr:colOff>
      <xdr:row>146</xdr:row>
      <xdr:rowOff>29246</xdr:rowOff>
    </xdr:from>
    <xdr:to>
      <xdr:col>1</xdr:col>
      <xdr:colOff>2981188</xdr:colOff>
      <xdr:row>148</xdr:row>
      <xdr:rowOff>96450</xdr:rowOff>
    </xdr:to>
    <xdr:pic>
      <xdr:nvPicPr>
        <xdr:cNvPr id="182"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4181" y="28489946"/>
          <a:ext cx="494732" cy="448204"/>
        </a:xfrm>
        <a:prstGeom prst="rect">
          <a:avLst/>
        </a:prstGeom>
      </xdr:spPr>
    </xdr:pic>
    <xdr:clientData/>
  </xdr:twoCellAnchor>
  <xdr:twoCellAnchor>
    <xdr:from>
      <xdr:col>1</xdr:col>
      <xdr:colOff>2961166</xdr:colOff>
      <xdr:row>143</xdr:row>
      <xdr:rowOff>185342</xdr:rowOff>
    </xdr:from>
    <xdr:to>
      <xdr:col>1</xdr:col>
      <xdr:colOff>5191125</xdr:colOff>
      <xdr:row>146</xdr:row>
      <xdr:rowOff>57149</xdr:rowOff>
    </xdr:to>
    <xdr:sp macro="" textlink="">
      <xdr:nvSpPr>
        <xdr:cNvPr id="183" name="Passaggio" descr="Informazioni complete sulla funzione MEDIA.PIÙ.SE, con collegamento ipertestuale al Web&#10;&#10;">
          <a:hlinkClick xmlns:r="http://schemas.openxmlformats.org/officeDocument/2006/relationships" r:id="rId9" tooltip="Seleziona per ottenere informazioni complete dal Web sulla funzione MEDIA.PIÙ.SE"/>
          <a:extLst>
            <a:ext uri="{FF2B5EF4-FFF2-40B4-BE49-F238E27FC236}">
              <a16:creationId xmlns:a16="http://schemas.microsoft.com/office/drawing/2014/main" id="{5979CD87-1D2E-4D32-BF44-CE7F4285B790}"/>
            </a:ext>
          </a:extLst>
        </xdr:cNvPr>
        <xdr:cNvSpPr txBox="1"/>
      </xdr:nvSpPr>
      <xdr:spPr>
        <a:xfrm>
          <a:off x="3808891" y="28074542"/>
          <a:ext cx="2229959" cy="443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en"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MEDIA.PIÙ.SE</a:t>
          </a:r>
        </a:p>
      </xdr:txBody>
    </xdr:sp>
    <xdr:clientData/>
  </xdr:twoCellAnchor>
  <xdr:twoCellAnchor>
    <xdr:from>
      <xdr:col>1</xdr:col>
      <xdr:colOff>2486456</xdr:colOff>
      <xdr:row>143</xdr:row>
      <xdr:rowOff>167359</xdr:rowOff>
    </xdr:from>
    <xdr:to>
      <xdr:col>1</xdr:col>
      <xdr:colOff>2981188</xdr:colOff>
      <xdr:row>146</xdr:row>
      <xdr:rowOff>44063</xdr:rowOff>
    </xdr:to>
    <xdr:pic>
      <xdr:nvPicPr>
        <xdr:cNvPr id="184"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4181" y="28056559"/>
          <a:ext cx="494732" cy="448204"/>
        </a:xfrm>
        <a:prstGeom prst="rect">
          <a:avLst/>
        </a:prstGeom>
      </xdr:spPr>
    </xdr:pic>
    <xdr:clientData/>
  </xdr:twoCellAnchor>
  <xdr:twoCellAnchor>
    <xdr:from>
      <xdr:col>1</xdr:col>
      <xdr:colOff>179866</xdr:colOff>
      <xdr:row>143</xdr:row>
      <xdr:rowOff>166293</xdr:rowOff>
    </xdr:from>
    <xdr:to>
      <xdr:col>1</xdr:col>
      <xdr:colOff>2535885</xdr:colOff>
      <xdr:row>145</xdr:row>
      <xdr:rowOff>102279</xdr:rowOff>
    </xdr:to>
    <xdr:sp macro="" textlink="">
      <xdr:nvSpPr>
        <xdr:cNvPr id="185" name="Passaggio" descr="Informazioni complete sulla funzione MEDIA.SE, con collegamento ipertestuale al Web&#10;&#10;">
          <a:hlinkClick xmlns:r="http://schemas.openxmlformats.org/officeDocument/2006/relationships" r:id="rId10" tooltip="Seleziona per ottenere informazioni complete dal Web sulla funzione MEDIA.SE"/>
          <a:extLst>
            <a:ext uri="{FF2B5EF4-FFF2-40B4-BE49-F238E27FC236}">
              <a16:creationId xmlns:a16="http://schemas.microsoft.com/office/drawing/2014/main" id="{9FF9239A-F102-47F3-A0A3-68BDFAFB9C67}"/>
            </a:ext>
          </a:extLst>
        </xdr:cNvPr>
        <xdr:cNvSpPr txBox="1"/>
      </xdr:nvSpPr>
      <xdr:spPr>
        <a:xfrm>
          <a:off x="1027591" y="28055493"/>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0</xdr:col>
      <xdr:colOff>562406</xdr:colOff>
      <xdr:row>143</xdr:row>
      <xdr:rowOff>164977</xdr:rowOff>
    </xdr:from>
    <xdr:to>
      <xdr:col>1</xdr:col>
      <xdr:colOff>209413</xdr:colOff>
      <xdr:row>146</xdr:row>
      <xdr:rowOff>41681</xdr:rowOff>
    </xdr:to>
    <xdr:pic>
      <xdr:nvPicPr>
        <xdr:cNvPr id="186" name="Elemento grafico 22" descr="Freccia">
          <a:hlinkClick xmlns:r="http://schemas.openxmlformats.org/officeDocument/2006/relationships" r:id="rId10" tooltip="Seleziona per ottenere altre informazioni dal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054177"/>
          <a:ext cx="494732" cy="448204"/>
        </a:xfrm>
        <a:prstGeom prst="rect">
          <a:avLst/>
        </a:prstGeom>
      </xdr:spPr>
    </xdr:pic>
    <xdr:clientData/>
  </xdr:twoCellAnchor>
  <xdr:twoCellAnchor>
    <xdr:from>
      <xdr:col>1</xdr:col>
      <xdr:colOff>179865</xdr:colOff>
      <xdr:row>146</xdr:row>
      <xdr:rowOff>28180</xdr:rowOff>
    </xdr:from>
    <xdr:to>
      <xdr:col>1</xdr:col>
      <xdr:colOff>2334856</xdr:colOff>
      <xdr:row>147</xdr:row>
      <xdr:rowOff>154666</xdr:rowOff>
    </xdr:to>
    <xdr:sp macro="" textlink="">
      <xdr:nvSpPr>
        <xdr:cNvPr id="187" name="Passaggio" descr="Informazioni complete sulla funzione MIN.PIÙ.SE, con collegamento ipertestuale al Web&#10;&#10;">
          <a:hlinkClick xmlns:r="http://schemas.openxmlformats.org/officeDocument/2006/relationships" r:id="rId11" tooltip="Seleziona per ottenere informazioni complete dal Web sulla funzione MIN.PIÙ.SE"/>
          <a:extLst>
            <a:ext uri="{FF2B5EF4-FFF2-40B4-BE49-F238E27FC236}">
              <a16:creationId xmlns:a16="http://schemas.microsoft.com/office/drawing/2014/main" id="{5BA88C28-4CAB-4843-A9C6-0DA18559CEDE}"/>
            </a:ext>
          </a:extLst>
        </xdr:cNvPr>
        <xdr:cNvSpPr txBox="1"/>
      </xdr:nvSpPr>
      <xdr:spPr>
        <a:xfrm>
          <a:off x="1027590" y="28488880"/>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MIN.PIÙ.SE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0</xdr:col>
      <xdr:colOff>562406</xdr:colOff>
      <xdr:row>146</xdr:row>
      <xdr:rowOff>20911</xdr:rowOff>
    </xdr:from>
    <xdr:to>
      <xdr:col>1</xdr:col>
      <xdr:colOff>209413</xdr:colOff>
      <xdr:row>148</xdr:row>
      <xdr:rowOff>88115</xdr:rowOff>
    </xdr:to>
    <xdr:pic>
      <xdr:nvPicPr>
        <xdr:cNvPr id="188" name="Elemento grafico 22" descr="Freccia">
          <a:hlinkClick xmlns:r="http://schemas.openxmlformats.org/officeDocument/2006/relationships" r:id="rId11" tooltip="Seleziona per ottenere altre informazioni dal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481611"/>
          <a:ext cx="494732" cy="448204"/>
        </a:xfrm>
        <a:prstGeom prst="rect">
          <a:avLst/>
        </a:prstGeom>
      </xdr:spPr>
    </xdr:pic>
    <xdr:clientData/>
  </xdr:twoCellAnchor>
  <xdr:twoCellAnchor>
    <xdr:from>
      <xdr:col>1</xdr:col>
      <xdr:colOff>2951641</xdr:colOff>
      <xdr:row>141</xdr:row>
      <xdr:rowOff>104379</xdr:rowOff>
    </xdr:from>
    <xdr:to>
      <xdr:col>1</xdr:col>
      <xdr:colOff>5288515</xdr:colOff>
      <xdr:row>143</xdr:row>
      <xdr:rowOff>180974</xdr:rowOff>
    </xdr:to>
    <xdr:sp macro="" textlink="">
      <xdr:nvSpPr>
        <xdr:cNvPr id="189" name="Passaggio" descr="Informazioni complete sulla funzione CONTA.PIÙ.SE, con collegamento ipertestuale al Web&#10;&#10;">
          <a:hlinkClick xmlns:r="http://schemas.openxmlformats.org/officeDocument/2006/relationships" r:id="rId12" tooltip="Seleziona per ottenere informazioni complete dal Web sulla funzione CONTA.PIÙ.SE"/>
          <a:extLst>
            <a:ext uri="{FF2B5EF4-FFF2-40B4-BE49-F238E27FC236}">
              <a16:creationId xmlns:a16="http://schemas.microsoft.com/office/drawing/2014/main" id="{EADD320D-BECB-4510-A526-402BC7B8CE52}"/>
            </a:ext>
          </a:extLst>
        </xdr:cNvPr>
        <xdr:cNvSpPr txBox="1"/>
      </xdr:nvSpPr>
      <xdr:spPr>
        <a:xfrm>
          <a:off x="3799366" y="27612579"/>
          <a:ext cx="2336874" cy="45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en"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CONTA.PIÙ.SE</a:t>
          </a:r>
        </a:p>
      </xdr:txBody>
    </xdr:sp>
    <xdr:clientData/>
  </xdr:twoCellAnchor>
  <xdr:twoCellAnchor>
    <xdr:from>
      <xdr:col>1</xdr:col>
      <xdr:colOff>2486456</xdr:colOff>
      <xdr:row>141</xdr:row>
      <xdr:rowOff>124496</xdr:rowOff>
    </xdr:from>
    <xdr:to>
      <xdr:col>1</xdr:col>
      <xdr:colOff>2981188</xdr:colOff>
      <xdr:row>144</xdr:row>
      <xdr:rowOff>1200</xdr:rowOff>
    </xdr:to>
    <xdr:pic>
      <xdr:nvPicPr>
        <xdr:cNvPr id="190" name="Elemento grafico 22" descr="Freccia">
          <a:hlinkClick xmlns:r="http://schemas.openxmlformats.org/officeDocument/2006/relationships" r:id="rId12" tooltip="Seleziona per ottenere altre informazioni dal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4181" y="27632696"/>
          <a:ext cx="494732" cy="448204"/>
        </a:xfrm>
        <a:prstGeom prst="rect">
          <a:avLst/>
        </a:prstGeom>
      </xdr:spPr>
    </xdr:pic>
    <xdr:clientData/>
  </xdr:twoCellAnchor>
  <xdr:twoCellAnchor>
    <xdr:from>
      <xdr:col>1</xdr:col>
      <xdr:colOff>2951641</xdr:colOff>
      <xdr:row>139</xdr:row>
      <xdr:rowOff>71043</xdr:rowOff>
    </xdr:from>
    <xdr:to>
      <xdr:col>1</xdr:col>
      <xdr:colOff>5135350</xdr:colOff>
      <xdr:row>141</xdr:row>
      <xdr:rowOff>679</xdr:rowOff>
    </xdr:to>
    <xdr:sp macro="" textlink="">
      <xdr:nvSpPr>
        <xdr:cNvPr id="191" name="Passaggio" descr="Informazioni complete sulla funzione SOMMA.PIÙ.SE, con collegamento ipertestuale al Web&#10;&#10;">
          <a:hlinkClick xmlns:r="http://schemas.openxmlformats.org/officeDocument/2006/relationships" r:id="rId13" tooltip="Seleziona per ottenere informazioni complete dal Web sulla funzione SOMMA.PIÙ.SE"/>
          <a:extLst>
            <a:ext uri="{FF2B5EF4-FFF2-40B4-BE49-F238E27FC236}">
              <a16:creationId xmlns:a16="http://schemas.microsoft.com/office/drawing/2014/main" id="{791E8E89-8DEE-430C-AEDB-E56F74AA279F}"/>
            </a:ext>
          </a:extLst>
        </xdr:cNvPr>
        <xdr:cNvSpPr txBox="1"/>
      </xdr:nvSpPr>
      <xdr:spPr>
        <a:xfrm>
          <a:off x="3799366" y="27198243"/>
          <a:ext cx="2183709"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SOMMA.PIÙ.SE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1</xdr:col>
      <xdr:colOff>2486456</xdr:colOff>
      <xdr:row>139</xdr:row>
      <xdr:rowOff>78459</xdr:rowOff>
    </xdr:from>
    <xdr:to>
      <xdr:col>1</xdr:col>
      <xdr:colOff>2981188</xdr:colOff>
      <xdr:row>141</xdr:row>
      <xdr:rowOff>139313</xdr:rowOff>
    </xdr:to>
    <xdr:pic>
      <xdr:nvPicPr>
        <xdr:cNvPr id="192" name="Elemento grafico 22" descr="Freccia">
          <a:hlinkClick xmlns:r="http://schemas.openxmlformats.org/officeDocument/2006/relationships" r:id="rId13" tooltip="Seleziona per ottenere altre informazioni dal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4181" y="27205659"/>
          <a:ext cx="494732" cy="441854"/>
        </a:xfrm>
        <a:prstGeom prst="rect">
          <a:avLst/>
        </a:prstGeom>
      </xdr:spPr>
    </xdr:pic>
    <xdr:clientData/>
  </xdr:twoCellAnchor>
  <xdr:twoCellAnchor>
    <xdr:from>
      <xdr:col>1</xdr:col>
      <xdr:colOff>179866</xdr:colOff>
      <xdr:row>139</xdr:row>
      <xdr:rowOff>71043</xdr:rowOff>
    </xdr:from>
    <xdr:to>
      <xdr:col>1</xdr:col>
      <xdr:colOff>2219984</xdr:colOff>
      <xdr:row>141</xdr:row>
      <xdr:rowOff>679</xdr:rowOff>
    </xdr:to>
    <xdr:sp macro="" textlink="">
      <xdr:nvSpPr>
        <xdr:cNvPr id="193" name="Passaggio" descr="Informazioni complete sulla funzione SOMMA.SE, con collegamento ipertestuale al Web&#10;&#10;">
          <a:hlinkClick xmlns:r="http://schemas.openxmlformats.org/officeDocument/2006/relationships" r:id="rId14" tooltip="Seleziona per ottenere informazioni complete dal Web sulla funzione SOMMA.SE"/>
          <a:extLst>
            <a:ext uri="{FF2B5EF4-FFF2-40B4-BE49-F238E27FC236}">
              <a16:creationId xmlns:a16="http://schemas.microsoft.com/office/drawing/2014/main" id="{EAC8BE16-FCC7-483A-A30D-3B1F29F65450}"/>
            </a:ext>
          </a:extLst>
        </xdr:cNvPr>
        <xdr:cNvSpPr txBox="1"/>
      </xdr:nvSpPr>
      <xdr:spPr>
        <a:xfrm>
          <a:off x="1027591" y="27198243"/>
          <a:ext cx="2040118"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0</xdr:col>
      <xdr:colOff>562406</xdr:colOff>
      <xdr:row>139</xdr:row>
      <xdr:rowOff>78459</xdr:rowOff>
    </xdr:from>
    <xdr:to>
      <xdr:col>1</xdr:col>
      <xdr:colOff>209413</xdr:colOff>
      <xdr:row>141</xdr:row>
      <xdr:rowOff>139313</xdr:rowOff>
    </xdr:to>
    <xdr:pic>
      <xdr:nvPicPr>
        <xdr:cNvPr id="194" name="Elemento grafico 22" descr="Freccia">
          <a:hlinkClick xmlns:r="http://schemas.openxmlformats.org/officeDocument/2006/relationships" r:id="rId14" tooltip="Seleziona per ottenere altre informazioni dal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7205659"/>
          <a:ext cx="494732" cy="441854"/>
        </a:xfrm>
        <a:prstGeom prst="rect">
          <a:avLst/>
        </a:prstGeom>
      </xdr:spPr>
    </xdr:pic>
    <xdr:clientData/>
  </xdr:twoCellAnchor>
  <xdr:twoCellAnchor>
    <xdr:from>
      <xdr:col>1</xdr:col>
      <xdr:colOff>179866</xdr:colOff>
      <xdr:row>141</xdr:row>
      <xdr:rowOff>123430</xdr:rowOff>
    </xdr:from>
    <xdr:to>
      <xdr:col>1</xdr:col>
      <xdr:colOff>2392294</xdr:colOff>
      <xdr:row>143</xdr:row>
      <xdr:rowOff>59416</xdr:rowOff>
    </xdr:to>
    <xdr:sp macro="" textlink="">
      <xdr:nvSpPr>
        <xdr:cNvPr id="195" name="Passaggio" descr="Informazioni complete sulla funzione CONTA.SE, con collegamento ipertestuale al Web&#10;&#10;">
          <a:hlinkClick xmlns:r="http://schemas.openxmlformats.org/officeDocument/2006/relationships" r:id="rId15" tooltip="Seleziona per ottenere informazioni complete dal Web sulla funzione CONTA.SE"/>
          <a:extLst>
            <a:ext uri="{FF2B5EF4-FFF2-40B4-BE49-F238E27FC236}">
              <a16:creationId xmlns:a16="http://schemas.microsoft.com/office/drawing/2014/main" id="{C6912341-001C-497C-904C-1E09825E8C65}"/>
            </a:ext>
          </a:extLst>
        </xdr:cNvPr>
        <xdr:cNvSpPr txBox="1"/>
      </xdr:nvSpPr>
      <xdr:spPr>
        <a:xfrm>
          <a:off x="1027591" y="27631630"/>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0</xdr:col>
      <xdr:colOff>562406</xdr:colOff>
      <xdr:row>141</xdr:row>
      <xdr:rowOff>118543</xdr:rowOff>
    </xdr:from>
    <xdr:to>
      <xdr:col>1</xdr:col>
      <xdr:colOff>209413</xdr:colOff>
      <xdr:row>143</xdr:row>
      <xdr:rowOff>185747</xdr:rowOff>
    </xdr:to>
    <xdr:pic>
      <xdr:nvPicPr>
        <xdr:cNvPr id="196" name="Elemento grafico 22" descr="Freccia">
          <a:hlinkClick xmlns:r="http://schemas.openxmlformats.org/officeDocument/2006/relationships" r:id="rId15" tooltip="Seleziona per ottenere altre informazioni dal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7626743"/>
          <a:ext cx="494732" cy="448204"/>
        </a:xfrm>
        <a:prstGeom prst="rect">
          <a:avLst/>
        </a:prstGeom>
      </xdr:spPr>
    </xdr:pic>
    <xdr:clientData/>
  </xdr:twoCellAnchor>
  <xdr:twoCellAnchor>
    <xdr:from>
      <xdr:col>1</xdr:col>
      <xdr:colOff>179866</xdr:colOff>
      <xdr:row>148</xdr:row>
      <xdr:rowOff>132955</xdr:rowOff>
    </xdr:from>
    <xdr:to>
      <xdr:col>1</xdr:col>
      <xdr:colOff>2080042</xdr:colOff>
      <xdr:row>150</xdr:row>
      <xdr:rowOff>68941</xdr:rowOff>
    </xdr:to>
    <xdr:sp macro="" textlink="">
      <xdr:nvSpPr>
        <xdr:cNvPr id="197" name="Passaggio" descr="Creare un elenco a discesa, con collegamento ipertestuale al Web&#10;&#10;">
          <a:hlinkClick xmlns:r="http://schemas.openxmlformats.org/officeDocument/2006/relationships" r:id="rId16" tooltip="Seleziona per ottenere informazioni complete dal Web sulla creazione di un elenco a discesa"/>
          <a:extLst>
            <a:ext uri="{FF2B5EF4-FFF2-40B4-BE49-F238E27FC236}">
              <a16:creationId xmlns:a16="http://schemas.microsoft.com/office/drawing/2014/main" id="{0E1FD4BB-1B69-400F-9A73-D9D7B8667E1C}"/>
            </a:ext>
          </a:extLst>
        </xdr:cNvPr>
        <xdr:cNvSpPr txBox="1"/>
      </xdr:nvSpPr>
      <xdr:spPr>
        <a:xfrm>
          <a:off x="1027591" y="289746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Creare un elenco a discesa</a:t>
          </a:r>
        </a:p>
      </xdr:txBody>
    </xdr:sp>
    <xdr:clientData/>
  </xdr:twoCellAnchor>
  <xdr:twoCellAnchor>
    <xdr:from>
      <xdr:col>0</xdr:col>
      <xdr:colOff>562406</xdr:colOff>
      <xdr:row>148</xdr:row>
      <xdr:rowOff>67346</xdr:rowOff>
    </xdr:from>
    <xdr:to>
      <xdr:col>1</xdr:col>
      <xdr:colOff>209413</xdr:colOff>
      <xdr:row>150</xdr:row>
      <xdr:rowOff>134550</xdr:rowOff>
    </xdr:to>
    <xdr:pic>
      <xdr:nvPicPr>
        <xdr:cNvPr id="198" name="Elemento grafico 22" descr="Freccia">
          <a:hlinkClick xmlns:r="http://schemas.openxmlformats.org/officeDocument/2006/relationships" r:id="rId16" tooltip="Seleziona per ottenere altre informazioni dal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909046"/>
          <a:ext cx="494732" cy="448204"/>
        </a:xfrm>
        <a:prstGeom prst="rect">
          <a:avLst/>
        </a:prstGeom>
      </xdr:spPr>
    </xdr:pic>
    <xdr:clientData/>
  </xdr:twoCellAnchor>
  <xdr:twoCellAnchor editAs="absolute">
    <xdr:from>
      <xdr:col>0</xdr:col>
      <xdr:colOff>523788</xdr:colOff>
      <xdr:row>22</xdr:row>
      <xdr:rowOff>133350</xdr:rowOff>
    </xdr:from>
    <xdr:to>
      <xdr:col>1</xdr:col>
      <xdr:colOff>4915231</xdr:colOff>
      <xdr:row>28</xdr:row>
      <xdr:rowOff>104774</xdr:rowOff>
    </xdr:to>
    <xdr:grpSp>
      <xdr:nvGrpSpPr>
        <xdr:cNvPr id="4" name="Gruppo 3">
          <a:extLst>
            <a:ext uri="{FF2B5EF4-FFF2-40B4-BE49-F238E27FC236}">
              <a16:creationId xmlns:a16="http://schemas.microsoft.com/office/drawing/2014/main" id="{5F83CBBA-90B0-4EB0-9AB8-57CF000EADA5}"/>
            </a:ext>
          </a:extLst>
        </xdr:cNvPr>
        <xdr:cNvGrpSpPr/>
      </xdr:nvGrpSpPr>
      <xdr:grpSpPr>
        <a:xfrm>
          <a:off x="523788" y="4895850"/>
          <a:ext cx="5239168" cy="1114424"/>
          <a:chOff x="571500" y="4610100"/>
          <a:chExt cx="5229626" cy="1114424"/>
        </a:xfrm>
      </xdr:grpSpPr>
      <xdr:sp macro="" textlink="">
        <xdr:nvSpPr>
          <xdr:cNvPr id="200" name="testo_Passaggio" descr="SOMMA.PIÙ.SE equivale a SOMMA.SE, ma consente di usare più criteri. Quindi, in questo esempio, è possibile cercare frutta e tipo, anziché solo frutta. Seleziona la cella H17 e digita =SOMMA.PIÙ.SE(H3:H14,F3:F14,F17,G3:G14,G17). La funzione SOMMA.PIÙ.SE è strutturata in questo modo:&#10;&#10;&#10;">
            <a:extLst>
              <a:ext uri="{FF2B5EF4-FFF2-40B4-BE49-F238E27FC236}">
                <a16:creationId xmlns:a16="http://schemas.microsoft.com/office/drawing/2014/main" id="{4F912E6F-F743-47DF-85DF-3039C56B3212}"/>
              </a:ext>
            </a:extLst>
          </xdr:cNvPr>
          <xdr:cNvSpPr txBox="1"/>
        </xdr:nvSpPr>
        <xdr:spPr>
          <a:xfrm>
            <a:off x="991382" y="4652057"/>
            <a:ext cx="4809744" cy="107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SOMMA.PIÙ.SE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equivale a SOMMA.SE, ma consente di usare più criteri. Quindi, in questo esempio, è possibile cercare frutta e tipo, anziché solo frutta. Seleziona la cella H17 e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=SOMMA.PIÙ.SE(H3:H14;F3:F14;F17;G3:G14;G17)</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SOMMA.PIÙ.SE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è strutturata in questo modo: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forma_Passaggio"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116</xdr:row>
      <xdr:rowOff>9525</xdr:rowOff>
    </xdr:from>
    <xdr:to>
      <xdr:col>1</xdr:col>
      <xdr:colOff>5238749</xdr:colOff>
      <xdr:row>135</xdr:row>
      <xdr:rowOff>24962</xdr:rowOff>
    </xdr:to>
    <xdr:grpSp>
      <xdr:nvGrpSpPr>
        <xdr:cNvPr id="202" name="Altre informazioni su SOM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2717125"/>
          <a:ext cx="5724525" cy="3673037"/>
          <a:chOff x="347872" y="13364013"/>
          <a:chExt cx="5695950" cy="3673037"/>
        </a:xfrm>
      </xdr:grpSpPr>
      <xdr:sp macro="" textlink="">
        <xdr:nvSpPr>
          <xdr:cNvPr id="203" name="Rettangolo 202" descr="Sfondo">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Connettore diritto 203" descr="Linea decorativa">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Connettore diritto 204" descr="Linea decorativa">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Passaggio" descr="SOMMA.SE con un argomento valore&#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SOMMA.SE con un argomento valore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Passaggio" descr="Ecco un esempio di funzione SOMMA.SE usando &quot;maggiore di&quot; per trovare tutti i valori che superano una determinata quantità:&#10;&#10;">
            <a:extLst>
              <a:ext uri="{FF2B5EF4-FFF2-40B4-BE49-F238E27FC236}">
                <a16:creationId xmlns:a16="http://schemas.microsoft.com/office/drawing/2014/main" id="{792313DA-1F40-48BD-8EAF-3D313D4FB9FC}"/>
              </a:ext>
            </a:extLst>
          </xdr:cNvPr>
          <xdr:cNvSpPr txBox="1"/>
        </xdr:nvSpPr>
        <xdr:spPr>
          <a:xfrm>
            <a:off x="553342" y="14086482"/>
            <a:ext cx="51966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Ecco</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 esempio di funzione </a:t>
            </a:r>
            <a:r>
              <a:rPr lang="i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SOMMA.SE</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usando "maggiore di" (</a:t>
            </a:r>
            <a:r>
              <a:rPr lang="i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per trovare tutti i valori che superano una determinata quantità:</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Passaggio" descr="NOTA: se ti ritrovi a creare molte formule SOMMA.SE, tieni presente che una tabella pivot è una soluzione migliore. Per saperne di più, fai clic per visualizzare l'articolo sulle tabelle pivot sul Web&#10;">
            <a:hlinkClick xmlns:r="http://schemas.openxmlformats.org/officeDocument/2006/relationships" r:id="rId17" tooltip="Seleziona per passare al foglio di lavoro Tabella pivot"/>
            <a:extLst>
              <a:ext uri="{FF2B5EF4-FFF2-40B4-BE49-F238E27FC236}">
                <a16:creationId xmlns:a16="http://schemas.microsoft.com/office/drawing/2014/main" id="{34FB80A3-CAA8-4879-81AA-6C9C6DA04FF8}"/>
              </a:ext>
            </a:extLst>
          </xdr:cNvPr>
          <xdr:cNvSpPr txBox="1"/>
        </xdr:nvSpPr>
        <xdr:spPr>
          <a:xfrm>
            <a:off x="553342" y="16198822"/>
            <a:ext cx="5215635"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b="1" kern="0" spc="-3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NOTA: </a:t>
            </a:r>
            <a:r>
              <a:rPr lang="it" sz="1100" kern="0" spc="-3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ti ritrovi</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creare molte formule condizionali, tieni presente che una tabella pivot è una soluzione migliore. </a:t>
            </a:r>
            <a:r>
              <a:rPr lang="it" sz="1100" u="sng"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 saperne di più, leggi questo articolo sulle tabelle pivot</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spc="-3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Casella di testo 100" descr="=SOMMA.SE(D118:D122,&quot;&gt;=50&quot;)&#10;&#10;&#10;">
            <a:extLst>
              <a:ext uri="{FF2B5EF4-FFF2-40B4-BE49-F238E27FC236}">
                <a16:creationId xmlns:a16="http://schemas.microsoft.com/office/drawing/2014/main" id="{081FEA47-A154-4881-BA88-6F77A1DA2820}"/>
              </a:ext>
            </a:extLst>
          </xdr:cNvPr>
          <xdr:cNvSpPr txBox="1"/>
        </xdr:nvSpPr>
        <xdr:spPr>
          <a:xfrm>
            <a:off x="541774" y="15754051"/>
            <a:ext cx="4971311"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effectLst/>
                <a:latin typeface="Courier New" panose="02070309020205020404" pitchFamily="49" charset="0"/>
                <a:ea typeface="Times New Roman" panose="02020603050405020304" pitchFamily="18" charset="0"/>
                <a:cs typeface="Courier New" panose="02070309020205020404" pitchFamily="49" charset="0"/>
              </a:rPr>
              <a:t>=</a:t>
            </a:r>
            <a:r>
              <a:rPr lang="it"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SOMMA.SE(D118:D122;"&gt;=</a:t>
            </a:r>
            <a:r>
              <a:rPr lang="it"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Parentesi graffa aperta 209">
            <a:extLst>
              <a:ext uri="{FF2B5EF4-FFF2-40B4-BE49-F238E27FC236}">
                <a16:creationId xmlns:a16="http://schemas.microsoft.com/office/drawing/2014/main" id="{D4198EE4-6DA5-4995-A5C3-297510D75CBC}"/>
              </a:ext>
            </a:extLst>
          </xdr:cNvPr>
          <xdr:cNvSpPr/>
        </xdr:nvSpPr>
        <xdr:spPr>
          <a:xfrm rot="5400000">
            <a:off x="1218084" y="15004070"/>
            <a:ext cx="177052" cy="12100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Casella di testo 2" descr="Somma alcuni valori in base a questo criterio:&#10;">
            <a:extLst>
              <a:ext uri="{FF2B5EF4-FFF2-40B4-BE49-F238E27FC236}">
                <a16:creationId xmlns:a16="http://schemas.microsoft.com/office/drawing/2014/main" id="{68686DE4-CB48-4915-8A63-E98D9F67B388}"/>
              </a:ext>
            </a:extLst>
          </xdr:cNvPr>
          <xdr:cNvSpPr txBox="1">
            <a:spLocks noChangeArrowheads="1"/>
          </xdr:cNvSpPr>
        </xdr:nvSpPr>
        <xdr:spPr bwMode="auto">
          <a:xfrm>
            <a:off x="768029" y="14670791"/>
            <a:ext cx="1077282"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Somma alcuni valori in base a questo criterio:</a:t>
            </a:r>
          </a:p>
        </xdr:txBody>
      </xdr:sp>
      <xdr:sp macro="" textlink="">
        <xdr:nvSpPr>
          <xdr:cNvPr id="212" name="Parentesi graffa aperta 211">
            <a:extLst>
              <a:ext uri="{FF2B5EF4-FFF2-40B4-BE49-F238E27FC236}">
                <a16:creationId xmlns:a16="http://schemas.microsoft.com/office/drawing/2014/main" id="{1F715516-41DD-4007-B4E1-F5219D7F5E3F}"/>
              </a:ext>
            </a:extLst>
          </xdr:cNvPr>
          <xdr:cNvSpPr/>
        </xdr:nvSpPr>
        <xdr:spPr>
          <a:xfrm rot="5400000">
            <a:off x="2597207"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Casella di testo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2204288"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...Esamina queste celle...</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Parentesi graffa aperta 213">
            <a:extLst>
              <a:ext uri="{FF2B5EF4-FFF2-40B4-BE49-F238E27FC236}">
                <a16:creationId xmlns:a16="http://schemas.microsoft.com/office/drawing/2014/main" id="{DDE8A4F2-7D99-42CD-BA7B-3FD932A6B224}"/>
              </a:ext>
            </a:extLst>
          </xdr:cNvPr>
          <xdr:cNvSpPr/>
        </xdr:nvSpPr>
        <xdr:spPr>
          <a:xfrm rot="5400000">
            <a:off x="388291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Casella di testo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54236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 se il valore è maggiore di 50, sommalo.</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24</xdr:row>
      <xdr:rowOff>19050</xdr:rowOff>
    </xdr:to>
    <xdr:grpSp>
      <xdr:nvGrpSpPr>
        <xdr:cNvPr id="216" name="Gruppo 215">
          <a:extLst>
            <a:ext uri="{FF2B5EF4-FFF2-40B4-BE49-F238E27FC236}">
              <a16:creationId xmlns:a16="http://schemas.microsoft.com/office/drawing/2014/main" id="{0FA38FBC-68F7-4669-920A-9D32BAD15061}"/>
            </a:ext>
          </a:extLst>
        </xdr:cNvPr>
        <xdr:cNvGrpSpPr/>
      </xdr:nvGrpSpPr>
      <xdr:grpSpPr>
        <a:xfrm>
          <a:off x="8929301" y="3964967"/>
          <a:ext cx="4291399" cy="1197583"/>
          <a:chOff x="9434126" y="7174892"/>
          <a:chExt cx="4148524" cy="1197583"/>
        </a:xfrm>
      </xdr:grpSpPr>
      <xdr:grpSp>
        <xdr:nvGrpSpPr>
          <xdr:cNvPr id="217" name="Gruppo 216">
            <a:extLst>
              <a:ext uri="{FF2B5EF4-FFF2-40B4-BE49-F238E27FC236}">
                <a16:creationId xmlns:a16="http://schemas.microsoft.com/office/drawing/2014/main" id="{CD1F56E6-4339-49C4-BA4B-9E71C6AAB175}"/>
              </a:ext>
            </a:extLst>
          </xdr:cNvPr>
          <xdr:cNvGrpSpPr/>
        </xdr:nvGrpSpPr>
        <xdr:grpSpPr>
          <a:xfrm>
            <a:off x="9434126" y="7219374"/>
            <a:ext cx="4148524" cy="1153101"/>
            <a:chOff x="10339001" y="7219374"/>
            <a:chExt cx="4148524" cy="1153101"/>
          </a:xfrm>
        </xdr:grpSpPr>
        <xdr:grpSp>
          <xdr:nvGrpSpPr>
            <xdr:cNvPr id="219" name="L'ESPERTO SUGGERISCE" descr="L'ESPERTO SUGGERISCE">
              <a:extLst>
                <a:ext uri="{FF2B5EF4-FFF2-40B4-BE49-F238E27FC236}">
                  <a16:creationId xmlns:a16="http://schemas.microsoft.com/office/drawing/2014/main" id="{80AEA6E2-8705-424F-9170-D839A6C17C4E}"/>
                </a:ext>
              </a:extLst>
            </xdr:cNvPr>
            <xdr:cNvGrpSpPr/>
          </xdr:nvGrpSpPr>
          <xdr:grpSpPr>
            <a:xfrm>
              <a:off x="11734800" y="7219950"/>
              <a:ext cx="2752725" cy="1152525"/>
              <a:chOff x="8448675" y="2143125"/>
              <a:chExt cx="2419160" cy="1145492"/>
            </a:xfrm>
          </xdr:grpSpPr>
          <xdr:pic>
            <xdr:nvPicPr>
              <xdr:cNvPr id="221" name="Elemento grafico 2" descr="Gufo">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Passaggio"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14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L'ESPERTO SUGGERISCE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Ognuna delle celle Frutta e Tipo include un elenco a discesa in cui è possibile selezionare diversi frutti. Prova e osserva come le formule vengono aggiornate automaticamente.</a:t>
                </a:r>
              </a:p>
            </xdr:txBody>
          </xdr:sp>
        </xdr:grpSp>
        <xdr:sp macro="" textlink="">
          <xdr:nvSpPr>
            <xdr:cNvPr id="220" name="Figura a mano libera: forma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igura a mano libera: forma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200025</xdr:colOff>
      <xdr:row>12</xdr:row>
      <xdr:rowOff>19050</xdr:rowOff>
    </xdr:from>
    <xdr:to>
      <xdr:col>1</xdr:col>
      <xdr:colOff>4895850</xdr:colOff>
      <xdr:row>22</xdr:row>
      <xdr:rowOff>38100</xdr:rowOff>
    </xdr:to>
    <xdr:grpSp>
      <xdr:nvGrpSpPr>
        <xdr:cNvPr id="223" name="Gruppo 222">
          <a:extLst>
            <a:ext uri="{FF2B5EF4-FFF2-40B4-BE49-F238E27FC236}">
              <a16:creationId xmlns:a16="http://schemas.microsoft.com/office/drawing/2014/main" id="{6D0DD3D5-631D-4EF0-B8E5-3D745F7C34F8}"/>
            </a:ext>
          </a:extLst>
        </xdr:cNvPr>
        <xdr:cNvGrpSpPr/>
      </xdr:nvGrpSpPr>
      <xdr:grpSpPr>
        <a:xfrm>
          <a:off x="1047750" y="2876550"/>
          <a:ext cx="4695825" cy="1924050"/>
          <a:chOff x="3048000" y="4524375"/>
          <a:chExt cx="4695825" cy="1924050"/>
        </a:xfrm>
      </xdr:grpSpPr>
      <xdr:sp macro="" textlink="">
        <xdr:nvSpPr>
          <xdr:cNvPr id="224" name="testo_Formula" descr="=SOMMA.SE(C3:C14;C17;D3:D4)&#10;">
            <a:extLst>
              <a:ext uri="{FF2B5EF4-FFF2-40B4-BE49-F238E27FC236}">
                <a16:creationId xmlns:a16="http://schemas.microsoft.com/office/drawing/2014/main" id="{DCB35442-6216-467A-BC97-109CD36E5CB5}"/>
              </a:ext>
            </a:extLst>
          </xdr:cNvPr>
          <xdr:cNvSpPr txBox="1"/>
        </xdr:nvSpPr>
        <xdr:spPr>
          <a:xfrm>
            <a:off x="3048000" y="5334000"/>
            <a:ext cx="4362450"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=SOMMA.SE(C3:C14;C17;D3:D14)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po 224">
            <a:extLst>
              <a:ext uri="{FF2B5EF4-FFF2-40B4-BE49-F238E27FC236}">
                <a16:creationId xmlns:a16="http://schemas.microsoft.com/office/drawing/2014/main" id="{32BCCB5A-A2CD-497F-BF2F-258696BB6511}"/>
              </a:ext>
            </a:extLst>
          </xdr:cNvPr>
          <xdr:cNvGrpSpPr/>
        </xdr:nvGrpSpPr>
        <xdr:grpSpPr>
          <a:xfrm>
            <a:off x="4095750" y="4524375"/>
            <a:ext cx="1380166" cy="861227"/>
            <a:chOff x="4095750" y="4524375"/>
            <a:chExt cx="1380166" cy="861227"/>
          </a:xfrm>
        </xdr:grpSpPr>
        <xdr:sp macro="" textlink="">
          <xdr:nvSpPr>
            <xdr:cNvPr id="232" name="ParentesiGraffaFormulaSuperiore">
              <a:extLst>
                <a:ext uri="{FF2B5EF4-FFF2-40B4-BE49-F238E27FC236}">
                  <a16:creationId xmlns:a16="http://schemas.microsoft.com/office/drawing/2014/main" id="{30BE69DA-1183-4CDD-B940-0CD4E6DE5022}"/>
                </a:ext>
              </a:extLst>
            </xdr:cNvPr>
            <xdr:cNvSpPr/>
          </xdr:nvSpPr>
          <xdr:spPr>
            <a:xfrm rot="5400000">
              <a:off x="47695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esto_CalloutFormulaSuperiore" descr="Quale intervallo vuoi esaminare?&#10;&#10;">
              <a:extLst>
                <a:ext uri="{FF2B5EF4-FFF2-40B4-BE49-F238E27FC236}">
                  <a16:creationId xmlns:a16="http://schemas.microsoft.com/office/drawing/2014/main" id="{FC61B534-CB59-4B54-8582-02E46A40345E}"/>
                </a:ext>
              </a:extLst>
            </xdr:cNvPr>
            <xdr:cNvSpPr txBox="1">
              <a:spLocks noChangeArrowheads="1"/>
            </xdr:cNvSpPr>
          </xdr:nvSpPr>
          <xdr:spPr bwMode="auto">
            <a:xfrm>
              <a:off x="40957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Quale intervallo vuoi esaminare?</a:t>
              </a:r>
            </a:p>
          </xdr:txBody>
        </xdr:sp>
      </xdr:grpSp>
      <xdr:grpSp>
        <xdr:nvGrpSpPr>
          <xdr:cNvPr id="226" name="Gruppo 225">
            <a:extLst>
              <a:ext uri="{FF2B5EF4-FFF2-40B4-BE49-F238E27FC236}">
                <a16:creationId xmlns:a16="http://schemas.microsoft.com/office/drawing/2014/main" id="{6FA221CD-940C-4567-B73C-941BDC0DD971}"/>
              </a:ext>
            </a:extLst>
          </xdr:cNvPr>
          <xdr:cNvGrpSpPr/>
        </xdr:nvGrpSpPr>
        <xdr:grpSpPr>
          <a:xfrm>
            <a:off x="5572124" y="4524375"/>
            <a:ext cx="2171701" cy="861228"/>
            <a:chOff x="5572124" y="4524375"/>
            <a:chExt cx="2171701" cy="861228"/>
          </a:xfrm>
        </xdr:grpSpPr>
        <xdr:sp macro="" textlink="">
          <xdr:nvSpPr>
            <xdr:cNvPr id="230" name="ParentesiGraffaFormulaSuperiore">
              <a:extLst>
                <a:ext uri="{FF2B5EF4-FFF2-40B4-BE49-F238E27FC236}">
                  <a16:creationId xmlns:a16="http://schemas.microsoft.com/office/drawing/2014/main" id="{0F30C154-2F1F-4A51-9F6F-727C94B1953E}"/>
                </a:ext>
              </a:extLst>
            </xdr:cNvPr>
            <xdr:cNvSpPr/>
          </xdr:nvSpPr>
          <xdr:spPr>
            <a:xfrm rot="5400000">
              <a:off x="6441673" y="4674002"/>
              <a:ext cx="499277" cy="92392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esto_CalloutFormulaSuperiore" descr="Per ogni corrispondenza trovata, quale intervallo vuoi sommare?&#10;&#10;">
              <a:extLst>
                <a:ext uri="{FF2B5EF4-FFF2-40B4-BE49-F238E27FC236}">
                  <a16:creationId xmlns:a16="http://schemas.microsoft.com/office/drawing/2014/main" id="{DA6683AA-4CC0-471A-A679-B838AA382F23}"/>
                </a:ext>
              </a:extLst>
            </xdr:cNvPr>
            <xdr:cNvSpPr txBox="1">
              <a:spLocks noChangeArrowheads="1"/>
            </xdr:cNvSpPr>
          </xdr:nvSpPr>
          <xdr:spPr bwMode="auto">
            <a:xfrm>
              <a:off x="5572124" y="4524375"/>
              <a:ext cx="2171701"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Per ogni corrispondenza trovata, quale intervallo vuoi sommare?</a:t>
              </a:r>
            </a:p>
          </xdr:txBody>
        </xdr:sp>
      </xdr:grpSp>
      <xdr:grpSp>
        <xdr:nvGrpSpPr>
          <xdr:cNvPr id="227" name="Gruppo 226">
            <a:extLst>
              <a:ext uri="{FF2B5EF4-FFF2-40B4-BE49-F238E27FC236}">
                <a16:creationId xmlns:a16="http://schemas.microsoft.com/office/drawing/2014/main" id="{19ECD3AD-6B72-4E46-8FCA-D4C2D3D56A1B}"/>
              </a:ext>
            </a:extLst>
          </xdr:cNvPr>
          <xdr:cNvGrpSpPr/>
        </xdr:nvGrpSpPr>
        <xdr:grpSpPr>
          <a:xfrm>
            <a:off x="5086350" y="5610223"/>
            <a:ext cx="1571625" cy="838202"/>
            <a:chOff x="5086350" y="5610223"/>
            <a:chExt cx="1571625" cy="838202"/>
          </a:xfrm>
        </xdr:grpSpPr>
        <xdr:sp macro="" textlink="">
          <xdr:nvSpPr>
            <xdr:cNvPr id="228" name="ParentesiGraffaFormulaInferiore">
              <a:extLst>
                <a:ext uri="{FF2B5EF4-FFF2-40B4-BE49-F238E27FC236}">
                  <a16:creationId xmlns:a16="http://schemas.microsoft.com/office/drawing/2014/main" id="{C4C24EC1-E28F-4850-952E-C211297DA95C}"/>
                </a:ext>
              </a:extLst>
            </xdr:cNvPr>
            <xdr:cNvSpPr/>
          </xdr:nvSpPr>
          <xdr:spPr>
            <a:xfrm rot="16200000">
              <a:off x="561776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esto_CalloutFormulaInferiore" descr="Quale valore (testo o numero) vuoi cercare?&#10;&#10;">
              <a:extLst>
                <a:ext uri="{FF2B5EF4-FFF2-40B4-BE49-F238E27FC236}">
                  <a16:creationId xmlns:a16="http://schemas.microsoft.com/office/drawing/2014/main" id="{B9D27F57-F8C2-4EE5-AF26-66707B0E05AE}"/>
                </a:ext>
              </a:extLst>
            </xdr:cNvPr>
            <xdr:cNvSpPr txBox="1">
              <a:spLocks noChangeArrowheads="1"/>
            </xdr:cNvSpPr>
          </xdr:nvSpPr>
          <xdr:spPr bwMode="auto">
            <a:xfrm>
              <a:off x="5086350" y="5962650"/>
              <a:ext cx="15716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Quale valore (testo o numero) vuoi cercare?</a:t>
              </a:r>
            </a:p>
          </xdr:txBody>
        </xdr:sp>
      </xdr:grpSp>
    </xdr:grpSp>
    <xdr:clientData/>
  </xdr:twoCellAnchor>
  <xdr:twoCellAnchor>
    <xdr:from>
      <xdr:col>0</xdr:col>
      <xdr:colOff>371475</xdr:colOff>
      <xdr:row>28</xdr:row>
      <xdr:rowOff>114300</xdr:rowOff>
    </xdr:from>
    <xdr:to>
      <xdr:col>1</xdr:col>
      <xdr:colOff>5162550</xdr:colOff>
      <xdr:row>42</xdr:row>
      <xdr:rowOff>152400</xdr:rowOff>
    </xdr:to>
    <xdr:grpSp>
      <xdr:nvGrpSpPr>
        <xdr:cNvPr id="234" name="Gruppo 233">
          <a:extLst>
            <a:ext uri="{FF2B5EF4-FFF2-40B4-BE49-F238E27FC236}">
              <a16:creationId xmlns:a16="http://schemas.microsoft.com/office/drawing/2014/main" id="{728ED977-068D-4BDD-9900-E7A1A0E01A3A}"/>
            </a:ext>
          </a:extLst>
        </xdr:cNvPr>
        <xdr:cNvGrpSpPr/>
      </xdr:nvGrpSpPr>
      <xdr:grpSpPr>
        <a:xfrm>
          <a:off x="371475" y="6019800"/>
          <a:ext cx="5638800" cy="2705100"/>
          <a:chOff x="3048000" y="2390775"/>
          <a:chExt cx="5762625" cy="2766074"/>
        </a:xfrm>
      </xdr:grpSpPr>
      <xdr:sp macro="" textlink="">
        <xdr:nvSpPr>
          <xdr:cNvPr id="235" name="ParentesiGraffaFormulaInferiore">
            <a:extLst>
              <a:ext uri="{FF2B5EF4-FFF2-40B4-BE49-F238E27FC236}">
                <a16:creationId xmlns:a16="http://schemas.microsoft.com/office/drawing/2014/main" id="{453E28FE-C60F-4575-A21E-10394924F1B6}"/>
              </a:ext>
            </a:extLst>
          </xdr:cNvPr>
          <xdr:cNvSpPr/>
        </xdr:nvSpPr>
        <xdr:spPr>
          <a:xfrm rot="16200000">
            <a:off x="7421497" y="3718069"/>
            <a:ext cx="499277" cy="8164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ParentesiGraffaFormulaInferiore">
            <a:extLst>
              <a:ext uri="{FF2B5EF4-FFF2-40B4-BE49-F238E27FC236}">
                <a16:creationId xmlns:a16="http://schemas.microsoft.com/office/drawing/2014/main" id="{B085E19B-EB18-43E6-AB6C-14F6D2AFA1F7}"/>
              </a:ext>
            </a:extLst>
          </xdr:cNvPr>
          <xdr:cNvSpPr/>
        </xdr:nvSpPr>
        <xdr:spPr>
          <a:xfrm rot="16200000">
            <a:off x="5960314" y="3718069"/>
            <a:ext cx="499277" cy="8164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ParentesiGraffaFormulaSuperiore">
            <a:extLst>
              <a:ext uri="{FF2B5EF4-FFF2-40B4-BE49-F238E27FC236}">
                <a16:creationId xmlns:a16="http://schemas.microsoft.com/office/drawing/2014/main" id="{603AD5F7-68AF-446A-BFE6-540AB775EE0B}"/>
              </a:ext>
            </a:extLst>
          </xdr:cNvPr>
          <xdr:cNvSpPr/>
        </xdr:nvSpPr>
        <xdr:spPr>
          <a:xfrm rot="5400000">
            <a:off x="8172926" y="3189570"/>
            <a:ext cx="499277" cy="42569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ParentesiGraffaFormulaSuperiore">
            <a:extLst>
              <a:ext uri="{FF2B5EF4-FFF2-40B4-BE49-F238E27FC236}">
                <a16:creationId xmlns:a16="http://schemas.microsoft.com/office/drawing/2014/main" id="{7F46ED5B-D0A5-48EA-9808-55AA0B5DCFB6}"/>
              </a:ext>
            </a:extLst>
          </xdr:cNvPr>
          <xdr:cNvSpPr/>
        </xdr:nvSpPr>
        <xdr:spPr>
          <a:xfrm rot="5400000">
            <a:off x="6711727"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ParentesiGraffaFormulaSuperiore">
            <a:extLst>
              <a:ext uri="{FF2B5EF4-FFF2-40B4-BE49-F238E27FC236}">
                <a16:creationId xmlns:a16="http://schemas.microsoft.com/office/drawing/2014/main" id="{2B008E04-D970-4F41-8120-26A572840D06}"/>
              </a:ext>
            </a:extLst>
          </xdr:cNvPr>
          <xdr:cNvSpPr/>
        </xdr:nvSpPr>
        <xdr:spPr>
          <a:xfrm rot="5400000">
            <a:off x="5022617" y="3008181"/>
            <a:ext cx="499277" cy="7884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esto_Formula" descr="=SOMMA.PIÙ.SE(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1750" spc="-30" baseline="0">
                <a:solidFill>
                  <a:srgbClr val="000000"/>
                </a:solidFill>
                <a:effectLst/>
                <a:latin typeface="Courier New" panose="02070309020205020404" pitchFamily="49" charset="0"/>
                <a:ea typeface="Times New Roman" panose="02020603050405020304" pitchFamily="18" charset="0"/>
              </a:rPr>
              <a:t>=SOMMA.PIÙ.SE(H3:H14;F3:F14;F17;G3:G14;G17)</a:t>
            </a:r>
            <a:endParaRPr lang="en-US" sz="1750" spc="-30" baseline="0">
              <a:effectLst/>
              <a:latin typeface="Courier New" panose="02070309020205020404" pitchFamily="49" charset="0"/>
              <a:ea typeface="Times New Roman" panose="02020603050405020304" pitchFamily="18" charset="0"/>
            </a:endParaRPr>
          </a:p>
        </xdr:txBody>
      </xdr:sp>
      <xdr:sp macro="" textlink="">
        <xdr:nvSpPr>
          <xdr:cNvPr id="241" name="testo_CalloutFormulaSuperiore" descr="Quale intervallo vuoi sommare?&#10;&#10;">
            <a:extLst>
              <a:ext uri="{FF2B5EF4-FFF2-40B4-BE49-F238E27FC236}">
                <a16:creationId xmlns:a16="http://schemas.microsoft.com/office/drawing/2014/main" id="{5209C66A-5C8F-41D1-8DB2-9F8FD328852E}"/>
              </a:ext>
            </a:extLst>
          </xdr:cNvPr>
          <xdr:cNvSpPr txBox="1">
            <a:spLocks noChangeArrowheads="1"/>
          </xdr:cNvSpPr>
        </xdr:nvSpPr>
        <xdr:spPr bwMode="auto">
          <a:xfrm>
            <a:off x="4715808" y="2390775"/>
            <a:ext cx="1164833"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Quale intervallo vuoi sommare?</a:t>
            </a:r>
          </a:p>
        </xdr:txBody>
      </xdr:sp>
      <xdr:sp macro="" textlink="">
        <xdr:nvSpPr>
          <xdr:cNvPr id="242" name="testo_CalloutFormulaSuperiore" descr="Questo è il criterio per la prima corrispondenza&#10;&#10;">
            <a:extLst>
              <a:ext uri="{FF2B5EF4-FFF2-40B4-BE49-F238E27FC236}">
                <a16:creationId xmlns:a16="http://schemas.microsoft.com/office/drawing/2014/main" id="{286630EC-EA3F-4D50-8FFF-0ED884EEF636}"/>
              </a:ext>
            </a:extLst>
          </xdr:cNvPr>
          <xdr:cNvSpPr txBox="1">
            <a:spLocks noChangeArrowheads="1"/>
          </xdr:cNvSpPr>
        </xdr:nvSpPr>
        <xdr:spPr bwMode="auto">
          <a:xfrm>
            <a:off x="6387188" y="2390775"/>
            <a:ext cx="1148261"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criterio per la prima corrispondenza</a:t>
            </a:r>
          </a:p>
        </xdr:txBody>
      </xdr:sp>
      <xdr:sp macro="" textlink="">
        <xdr:nvSpPr>
          <xdr:cNvPr id="243" name="testo_CalloutFormulaSuperiore" descr="Questo è il criterio per la seconda corrispondenza&#10;">
            <a:extLst>
              <a:ext uri="{FF2B5EF4-FFF2-40B4-BE49-F238E27FC236}">
                <a16:creationId xmlns:a16="http://schemas.microsoft.com/office/drawing/2014/main" id="{B3BB2D28-068F-4AB6-BFAC-B52FC9070566}"/>
              </a:ext>
            </a:extLst>
          </xdr:cNvPr>
          <xdr:cNvSpPr txBox="1">
            <a:spLocks noChangeArrowheads="1"/>
          </xdr:cNvSpPr>
        </xdr:nvSpPr>
        <xdr:spPr bwMode="auto">
          <a:xfrm>
            <a:off x="7691196" y="2390775"/>
            <a:ext cx="110196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criterio per la seconda corrispondenza</a:t>
            </a:r>
          </a:p>
        </xdr:txBody>
      </xdr:sp>
      <xdr:sp macro="" textlink="">
        <xdr:nvSpPr>
          <xdr:cNvPr id="244" name="testo_CalloutFormulaInferiore" descr="Questo è il primo intervallo in cui cercare corrispondenze&#10;&#10;">
            <a:extLst>
              <a:ext uri="{FF2B5EF4-FFF2-40B4-BE49-F238E27FC236}">
                <a16:creationId xmlns:a16="http://schemas.microsoft.com/office/drawing/2014/main" id="{0209406C-4AC6-478F-BBC6-E1CFFB3DE19A}"/>
              </a:ext>
            </a:extLst>
          </xdr:cNvPr>
          <xdr:cNvSpPr txBox="1">
            <a:spLocks noChangeArrowheads="1"/>
          </xdr:cNvSpPr>
        </xdr:nvSpPr>
        <xdr:spPr bwMode="auto">
          <a:xfrm>
            <a:off x="5645701" y="4257675"/>
            <a:ext cx="1208356"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primo intervallo in cui cercare corrispondenze</a:t>
            </a:r>
          </a:p>
        </xdr:txBody>
      </xdr:sp>
      <xdr:sp macro="" textlink="">
        <xdr:nvSpPr>
          <xdr:cNvPr id="245" name="testo_CalloutFormulaInferiore" descr="Questo è il secondo intervallo in cui cercare corrispondenze&#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1284523"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secondo intervallo in cui cercare corrispondenze</a:t>
            </a:r>
          </a:p>
        </xdr:txBody>
      </xdr:sp>
    </xdr:grpSp>
    <xdr:clientData/>
  </xdr:twoCellAnchor>
  <xdr:twoCellAnchor>
    <xdr:from>
      <xdr:col>0</xdr:col>
      <xdr:colOff>581025</xdr:colOff>
      <xdr:row>44</xdr:row>
      <xdr:rowOff>47625</xdr:rowOff>
    </xdr:from>
    <xdr:to>
      <xdr:col>1</xdr:col>
      <xdr:colOff>2456367</xdr:colOff>
      <xdr:row>47</xdr:row>
      <xdr:rowOff>7049</xdr:rowOff>
    </xdr:to>
    <xdr:sp macro="" textlink="">
      <xdr:nvSpPr>
        <xdr:cNvPr id="246" name="Pulsante Altri dettagli" descr="Altri dettagli">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900112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xdr:from>
      <xdr:col>0</xdr:col>
      <xdr:colOff>361950</xdr:colOff>
      <xdr:row>91</xdr:row>
      <xdr:rowOff>57151</xdr:rowOff>
    </xdr:from>
    <xdr:to>
      <xdr:col>1</xdr:col>
      <xdr:colOff>5248275</xdr:colOff>
      <xdr:row>115</xdr:row>
      <xdr:rowOff>85726</xdr:rowOff>
    </xdr:to>
    <xdr:grpSp>
      <xdr:nvGrpSpPr>
        <xdr:cNvPr id="247" name="Gruppo 246">
          <a:extLst>
            <a:ext uri="{FF2B5EF4-FFF2-40B4-BE49-F238E27FC236}">
              <a16:creationId xmlns:a16="http://schemas.microsoft.com/office/drawing/2014/main" id="{09584E15-D790-4D76-92D3-066AB32B2FF1}"/>
            </a:ext>
          </a:extLst>
        </xdr:cNvPr>
        <xdr:cNvGrpSpPr/>
      </xdr:nvGrpSpPr>
      <xdr:grpSpPr>
        <a:xfrm>
          <a:off x="361950" y="18002251"/>
          <a:ext cx="5734050" cy="4600575"/>
          <a:chOff x="171450" y="17059274"/>
          <a:chExt cx="5734050" cy="4409303"/>
        </a:xfrm>
      </xdr:grpSpPr>
      <xdr:sp macro="" textlink="">
        <xdr:nvSpPr>
          <xdr:cNvPr id="248" name="testo_SfondoPresentazione" descr="Sfondo">
            <a:extLst>
              <a:ext uri="{FF2B5EF4-FFF2-40B4-BE49-F238E27FC236}">
                <a16:creationId xmlns:a16="http://schemas.microsoft.com/office/drawing/2014/main" id="{8E61E9C5-65C2-4369-A6AF-D75ED603CD7B}"/>
              </a:ext>
            </a:extLst>
          </xdr:cNvPr>
          <xdr:cNvSpPr/>
        </xdr:nvSpPr>
        <xdr:spPr>
          <a:xfrm>
            <a:off x="171450" y="17059274"/>
            <a:ext cx="5734050" cy="440930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esto_TitoloPresentazione" descr="Altre funzioni condizionali">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funzioni condizionali</a:t>
            </a:r>
          </a:p>
        </xdr:txBody>
      </xdr:sp>
      <xdr:cxnSp macro="">
        <xdr:nvCxnSpPr>
          <xdr:cNvPr id="250" name="testo_LineaPresentazione1" descr="Linea decorativa">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esto_LineaPresentazione2" descr="Linea decorativa">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esto_IntroPresentazione"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190962"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Finora abbiamo visto le funzioni SOMMA.SE, SOMMA.PIÙ.SE, CONTA.SE e CONTA.PIÙ.SE. Ora puoi provare autonomamente con altre funzioni, come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MEDIA.SE/MEDIA.PIÙ.SE</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MAX.PIÙ.SE</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MIN.PIÙ.SE. </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Sono tutte strutturate nello stesso modo, quindi una volta scritta una formula puoi semplicemente sostituire il nome della funzione con quello che vuoi usare. Abbiamo scritto tutte le funzioni necessarie per la cella E106, pronte da copiare/incollare. In alternativa, puoi provare a digitarle manualmente per esercitarti.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SOMMA.SE 	     =SOMMA.SE(C92:C103;C106;E92:E103)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SOMMA.PIÙ.SE   =SOMMA.PIÙ.SE(E92:E103;C92:C103;C106,D92:D103;D106)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MEDIA.SE 	     =MEDIA.SE(C92:C103;C106;E92:E103)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MEDIA.PIÙ.SE	     =MEDIA.PIÙ.SE(E92:E103;C92:C103;C106;D92:D103;D106)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CONTA.SE 	     =CONTA.SE(C92:C103;C106)</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CONTA.PIÙ.SE    =CONTA.PIÙ.SE(C92:C103;C106;D92:D103;D106)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MAX.PIÙ.SE 	     =MAX.PIÙ.SE(E92:E103;C92:C103;C106;D92:D103;D106)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MIN.PIÙ.SE 	     =MIN.PIÙ.SE(E92:E103;C92:C103;C106,D92:D103;D106)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112</xdr:row>
      <xdr:rowOff>104775</xdr:rowOff>
    </xdr:from>
    <xdr:to>
      <xdr:col>1</xdr:col>
      <xdr:colOff>4950281</xdr:colOff>
      <xdr:row>114</xdr:row>
      <xdr:rowOff>59224</xdr:rowOff>
    </xdr:to>
    <xdr:sp macro="" textlink="">
      <xdr:nvSpPr>
        <xdr:cNvPr id="254" name="PulsanteAvanti" descr="Passa al foglio successivo">
          <a:hlinkClick xmlns:r="http://schemas.openxmlformats.org/officeDocument/2006/relationships" r:id="rId3" tooltip="Fai clic qui per passare al foglio successivo"/>
          <a:extLst>
            <a:ext uri="{FF2B5EF4-FFF2-40B4-BE49-F238E27FC236}">
              <a16:creationId xmlns:a16="http://schemas.microsoft.com/office/drawing/2014/main" id="{9817BA26-3F9D-4337-96B5-9647A836BC8B}"/>
            </a:ext>
          </a:extLst>
        </xdr:cNvPr>
        <xdr:cNvSpPr/>
      </xdr:nvSpPr>
      <xdr:spPr>
        <a:xfrm>
          <a:off x="4522836" y="22050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361950</xdr:colOff>
      <xdr:row>48</xdr:row>
      <xdr:rowOff>85726</xdr:rowOff>
    </xdr:from>
    <xdr:to>
      <xdr:col>1</xdr:col>
      <xdr:colOff>5248275</xdr:colOff>
      <xdr:row>90</xdr:row>
      <xdr:rowOff>114300</xdr:rowOff>
    </xdr:to>
    <xdr:sp macro="" textlink="">
      <xdr:nvSpPr>
        <xdr:cNvPr id="255" name="Sfondo" descr="Sfondo">
          <a:extLst>
            <a:ext uri="{FF2B5EF4-FFF2-40B4-BE49-F238E27FC236}">
              <a16:creationId xmlns:a16="http://schemas.microsoft.com/office/drawing/2014/main" id="{59826756-6574-4AD7-87F3-D5BE531411BB}"/>
            </a:ext>
          </a:extLst>
        </xdr:cNvPr>
        <xdr:cNvSpPr/>
      </xdr:nvSpPr>
      <xdr:spPr>
        <a:xfrm>
          <a:off x="361950" y="9801226"/>
          <a:ext cx="5734050" cy="80676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51</xdr:row>
      <xdr:rowOff>180975</xdr:rowOff>
    </xdr:from>
    <xdr:to>
      <xdr:col>1</xdr:col>
      <xdr:colOff>4948224</xdr:colOff>
      <xdr:row>51</xdr:row>
      <xdr:rowOff>180975</xdr:rowOff>
    </xdr:to>
    <xdr:cxnSp macro="">
      <xdr:nvCxnSpPr>
        <xdr:cNvPr id="256" name="Linea inferiore" descr="Linea decorativa">
          <a:extLst>
            <a:ext uri="{FF2B5EF4-FFF2-40B4-BE49-F238E27FC236}">
              <a16:creationId xmlns:a16="http://schemas.microsoft.com/office/drawing/2014/main" id="{B4FBAF4C-2650-48DA-8BD4-CB9BC3AD86EB}"/>
            </a:ext>
          </a:extLst>
        </xdr:cNvPr>
        <xdr:cNvCxnSpPr>
          <a:cxnSpLocks/>
        </xdr:cNvCxnSpPr>
      </xdr:nvCxnSpPr>
      <xdr:spPr>
        <a:xfrm>
          <a:off x="547701" y="104679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48</xdr:row>
      <xdr:rowOff>180975</xdr:rowOff>
    </xdr:from>
    <xdr:to>
      <xdr:col>1</xdr:col>
      <xdr:colOff>4951420</xdr:colOff>
      <xdr:row>51</xdr:row>
      <xdr:rowOff>95317</xdr:rowOff>
    </xdr:to>
    <xdr:sp macro="" textlink="">
      <xdr:nvSpPr>
        <xdr:cNvPr id="257" name="Passaggio" descr="Funzioni condizionali: CONTA.SE&#10;">
          <a:extLst>
            <a:ext uri="{FF2B5EF4-FFF2-40B4-BE49-F238E27FC236}">
              <a16:creationId xmlns:a16="http://schemas.microsoft.com/office/drawing/2014/main" id="{4F5A7CA7-2EE0-4987-96BE-26C1F64A94A4}"/>
            </a:ext>
          </a:extLst>
        </xdr:cNvPr>
        <xdr:cNvSpPr txBox="1"/>
      </xdr:nvSpPr>
      <xdr:spPr>
        <a:xfrm>
          <a:off x="547701" y="98964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Funzioni condizionali: CONTA.SE</a:t>
          </a:r>
        </a:p>
      </xdr:txBody>
    </xdr:sp>
    <xdr:clientData/>
  </xdr:twoCellAnchor>
  <xdr:twoCellAnchor editAs="absolute">
    <xdr:from>
      <xdr:col>0</xdr:col>
      <xdr:colOff>547701</xdr:colOff>
      <xdr:row>86</xdr:row>
      <xdr:rowOff>30692</xdr:rowOff>
    </xdr:from>
    <xdr:to>
      <xdr:col>1</xdr:col>
      <xdr:colOff>4948224</xdr:colOff>
      <xdr:row>86</xdr:row>
      <xdr:rowOff>30692</xdr:rowOff>
    </xdr:to>
    <xdr:cxnSp macro="">
      <xdr:nvCxnSpPr>
        <xdr:cNvPr id="258" name="Linea inferiore" descr="Linea decorativa">
          <a:extLst>
            <a:ext uri="{FF2B5EF4-FFF2-40B4-BE49-F238E27FC236}">
              <a16:creationId xmlns:a16="http://schemas.microsoft.com/office/drawing/2014/main" id="{C9452A63-9B04-434E-9908-862D1547B71D}"/>
            </a:ext>
          </a:extLst>
        </xdr:cNvPr>
        <xdr:cNvCxnSpPr>
          <a:cxnSpLocks/>
        </xdr:cNvCxnSpPr>
      </xdr:nvCxnSpPr>
      <xdr:spPr>
        <a:xfrm>
          <a:off x="547701" y="170232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51</xdr:row>
      <xdr:rowOff>180975</xdr:rowOff>
    </xdr:from>
    <xdr:to>
      <xdr:col>1</xdr:col>
      <xdr:colOff>5015188</xdr:colOff>
      <xdr:row>56</xdr:row>
      <xdr:rowOff>38100</xdr:rowOff>
    </xdr:to>
    <xdr:sp macro="" textlink="">
      <xdr:nvSpPr>
        <xdr:cNvPr id="259" name="Introduzione alla somma di numeri" descr="CONTA.SE e CONTA.PIÙ.SE consentono di contare i valori in un intervallo in base a un determinato criterio. Sono un po' diverse dalle altre funzioni SE e PIÙ.SE in quanto hanno solo un intervallo di criteri e criteri. Non valutano un intervallo per poi cercare in un altro per riepilogare.&#10;&#10;">
          <a:extLst>
            <a:ext uri="{FF2B5EF4-FFF2-40B4-BE49-F238E27FC236}">
              <a16:creationId xmlns:a16="http://schemas.microsoft.com/office/drawing/2014/main" id="{FD69C356-A3A0-4ACC-9509-4D5AB4574A46}"/>
            </a:ext>
          </a:extLst>
        </xdr:cNvPr>
        <xdr:cNvSpPr txBox="1"/>
      </xdr:nvSpPr>
      <xdr:spPr>
        <a:xfrm>
          <a:off x="561975" y="10467975"/>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kern="1200">
              <a:solidFill>
                <a:schemeClr val="tx1">
                  <a:lumMod val="75000"/>
                  <a:lumOff val="25000"/>
                </a:schemeClr>
              </a:solidFill>
              <a:latin typeface="Segoe UI" panose="020B0502040204020203" pitchFamily="34" charset="0"/>
              <a:ea typeface="+mn-ea"/>
              <a:cs typeface="Segoe UI" panose="020B0502040204020203" pitchFamily="34" charset="0"/>
            </a:rPr>
            <a:t>CONTA.SE</a:t>
          </a:r>
          <a:r>
            <a:rPr lang="it" sz="1100" kern="1200">
              <a:solidFill>
                <a:schemeClr val="tx1">
                  <a:lumMod val="75000"/>
                  <a:lumOff val="25000"/>
                </a:schemeClr>
              </a:solidFill>
              <a:latin typeface="Segoe UI" panose="020B0502040204020203" pitchFamily="34" charset="0"/>
              <a:ea typeface="+mn-ea"/>
              <a:cs typeface="Segoe UI" panose="020B0502040204020203" pitchFamily="34" charset="0"/>
            </a:rPr>
            <a:t> e</a:t>
          </a:r>
          <a:r>
            <a:rPr lang="i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it"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CONTA.PIÙ.SE</a:t>
          </a:r>
          <a:r>
            <a:rPr lang="i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consentono di contare i valori in un intervallo in base a un determinato criterio. Sono </a:t>
          </a:r>
          <a:r>
            <a:rPr lang="it" sz="1100" kern="1200">
              <a:solidFill>
                <a:schemeClr val="tx1">
                  <a:lumMod val="75000"/>
                  <a:lumOff val="25000"/>
                </a:schemeClr>
              </a:solidFill>
              <a:latin typeface="Segoe UI" panose="020B0502040204020203" pitchFamily="34" charset="0"/>
              <a:ea typeface="+mn-ea"/>
              <a:cs typeface="Segoe UI" panose="020B0502040204020203" pitchFamily="34" charset="0"/>
            </a:rPr>
            <a:t>un po' diverse</a:t>
          </a:r>
          <a:r>
            <a:rPr lang="i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it" sz="1100" u="none" kern="1200" baseline="0">
              <a:solidFill>
                <a:schemeClr val="tx1">
                  <a:lumMod val="75000"/>
                  <a:lumOff val="25000"/>
                </a:schemeClr>
              </a:solidFill>
              <a:latin typeface="Segoe UI" panose="020B0502040204020203" pitchFamily="34" charset="0"/>
              <a:ea typeface="+mn-ea"/>
              <a:cs typeface="Segoe UI" panose="020B0502040204020203" pitchFamily="34" charset="0"/>
            </a:rPr>
            <a:t>dalle altre funzioni SE e PIÙ.SE in quanto hanno solo un intervallo di criteri e criteri. Non valutano un intervallo per poi cercare in un altro per riepilogare.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56</xdr:row>
      <xdr:rowOff>104775</xdr:rowOff>
    </xdr:from>
    <xdr:to>
      <xdr:col>1</xdr:col>
      <xdr:colOff>4943876</xdr:colOff>
      <xdr:row>59</xdr:row>
      <xdr:rowOff>129482</xdr:rowOff>
    </xdr:to>
    <xdr:grpSp>
      <xdr:nvGrpSpPr>
        <xdr:cNvPr id="7" name="Gruppo 6">
          <a:extLst>
            <a:ext uri="{FF2B5EF4-FFF2-40B4-BE49-F238E27FC236}">
              <a16:creationId xmlns:a16="http://schemas.microsoft.com/office/drawing/2014/main" id="{C3BD1A07-2431-425E-86AC-0511A2AC3600}"/>
            </a:ext>
          </a:extLst>
        </xdr:cNvPr>
        <xdr:cNvGrpSpPr/>
      </xdr:nvGrpSpPr>
      <xdr:grpSpPr>
        <a:xfrm>
          <a:off x="571500" y="11344275"/>
          <a:ext cx="5220101" cy="596207"/>
          <a:chOff x="609600" y="10820400"/>
          <a:chExt cx="5220101" cy="596207"/>
        </a:xfrm>
      </xdr:grpSpPr>
      <xdr:sp macro="" textlink="">
        <xdr:nvSpPr>
          <xdr:cNvPr id="261" name="testo_Passaggio" descr="Seleziona la cella D64 e digita =CONTA.SE(C50:C61,C64). La funzione CONTA.SE è strutturata in questo modo:&#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Seleziona la cella D64 e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=CONTA.SE(C50:C61;C64)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è strutturata in questo modo:</a:t>
            </a:r>
          </a:p>
        </xdr:txBody>
      </xdr:sp>
      <xdr:sp macro="" textlink="">
        <xdr:nvSpPr>
          <xdr:cNvPr id="262" name="forma_Passaggio"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87</xdr:row>
      <xdr:rowOff>68791</xdr:rowOff>
    </xdr:from>
    <xdr:to>
      <xdr:col>1</xdr:col>
      <xdr:colOff>4878004</xdr:colOff>
      <xdr:row>89</xdr:row>
      <xdr:rowOff>35865</xdr:rowOff>
    </xdr:to>
    <xdr:sp macro="" textlink="">
      <xdr:nvSpPr>
        <xdr:cNvPr id="263" name="PulsanteAvanti" descr="Passa al foglio successivo">
          <a:hlinkClick xmlns:r="http://schemas.openxmlformats.org/officeDocument/2006/relationships" r:id="rId3" tooltip="Fai clic qui per passare al foglio di lavoro successivo"/>
          <a:extLst>
            <a:ext uri="{FF2B5EF4-FFF2-40B4-BE49-F238E27FC236}">
              <a16:creationId xmlns:a16="http://schemas.microsoft.com/office/drawing/2014/main" id="{D6D142FA-1F43-4673-883C-435BE4A5BB46}"/>
            </a:ext>
          </a:extLst>
        </xdr:cNvPr>
        <xdr:cNvSpPr/>
      </xdr:nvSpPr>
      <xdr:spPr>
        <a:xfrm>
          <a:off x="4581526" y="17251891"/>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533400</xdr:colOff>
      <xdr:row>69</xdr:row>
      <xdr:rowOff>0</xdr:rowOff>
    </xdr:from>
    <xdr:to>
      <xdr:col>1</xdr:col>
      <xdr:colOff>4905776</xdr:colOff>
      <xdr:row>74</xdr:row>
      <xdr:rowOff>123825</xdr:rowOff>
    </xdr:to>
    <xdr:grpSp>
      <xdr:nvGrpSpPr>
        <xdr:cNvPr id="6" name="Gruppo 5">
          <a:extLst>
            <a:ext uri="{FF2B5EF4-FFF2-40B4-BE49-F238E27FC236}">
              <a16:creationId xmlns:a16="http://schemas.microsoft.com/office/drawing/2014/main" id="{0DA1DA82-7F55-47D3-8AE9-D782CB1AADE4}"/>
            </a:ext>
          </a:extLst>
        </xdr:cNvPr>
        <xdr:cNvGrpSpPr/>
      </xdr:nvGrpSpPr>
      <xdr:grpSpPr>
        <a:xfrm>
          <a:off x="533400" y="13754100"/>
          <a:ext cx="5220101" cy="1076325"/>
          <a:chOff x="571500" y="13230225"/>
          <a:chExt cx="5220101" cy="1076325"/>
        </a:xfrm>
      </xdr:grpSpPr>
      <xdr:sp macro="" textlink="">
        <xdr:nvSpPr>
          <xdr:cNvPr id="265" name="testo_Passaggio" descr="CONTA.PIÙ.SE equivale a SOMMA.SE, ma consente di usare più criteri. Quindi, in questo esempio, è possibile cercare frutta e tipo, anziché solo frutta. Seleziona la cella H64 e digita =CONTA.PIÙ.SE(F50:F61,F64,G50:G61,G64). La funzione CONTA.PIÙ.SE è strutturata in questo modo:&#10;&#10;&#10;">
            <a:extLst>
              <a:ext uri="{FF2B5EF4-FFF2-40B4-BE49-F238E27FC236}">
                <a16:creationId xmlns:a16="http://schemas.microsoft.com/office/drawing/2014/main" id="{FA9C0F1D-374A-480D-BD12-25CF4F963447}"/>
              </a:ext>
            </a:extLst>
          </xdr:cNvPr>
          <xdr:cNvSpPr txBox="1"/>
        </xdr:nvSpPr>
        <xdr:spPr>
          <a:xfrm>
            <a:off x="981857" y="13272183"/>
            <a:ext cx="4809744" cy="103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CONTA.PIÙ.SE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equivale a SOMMA.SE, ma consente di usare più criteri. Pertanto, in questo esempio, è possibile cercare frutta e tipo, anziché solo frutta. Seleziona la cella H64 e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=CONTA.PIÙ.SE(F50:F61;F64;G50:G61;G64)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CONTA.PIÙ.SE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è strutturata in questo modo: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forma_Passaggio"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19050</xdr:rowOff>
    </xdr:from>
    <xdr:to>
      <xdr:col>1</xdr:col>
      <xdr:colOff>4162425</xdr:colOff>
      <xdr:row>69</xdr:row>
      <xdr:rowOff>38100</xdr:rowOff>
    </xdr:to>
    <xdr:grpSp>
      <xdr:nvGrpSpPr>
        <xdr:cNvPr id="267" name="Gruppo 266">
          <a:extLst>
            <a:ext uri="{FF2B5EF4-FFF2-40B4-BE49-F238E27FC236}">
              <a16:creationId xmlns:a16="http://schemas.microsoft.com/office/drawing/2014/main" id="{E8932D15-E179-42A0-91A2-EDDEA215314C}"/>
            </a:ext>
          </a:extLst>
        </xdr:cNvPr>
        <xdr:cNvGrpSpPr/>
      </xdr:nvGrpSpPr>
      <xdr:grpSpPr>
        <a:xfrm>
          <a:off x="1038225" y="11830050"/>
          <a:ext cx="3971925" cy="1962150"/>
          <a:chOff x="3048000" y="4524375"/>
          <a:chExt cx="3971925" cy="1924050"/>
        </a:xfrm>
      </xdr:grpSpPr>
      <xdr:sp macro="" textlink="">
        <xdr:nvSpPr>
          <xdr:cNvPr id="268" name="testo_Formula" descr="=CONTA.SE(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=CONTA.SE(C50:C61;C64)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po 268">
            <a:extLst>
              <a:ext uri="{FF2B5EF4-FFF2-40B4-BE49-F238E27FC236}">
                <a16:creationId xmlns:a16="http://schemas.microsoft.com/office/drawing/2014/main" id="{37527305-6134-452A-8E72-EC503505A6ED}"/>
              </a:ext>
            </a:extLst>
          </xdr:cNvPr>
          <xdr:cNvGrpSpPr/>
        </xdr:nvGrpSpPr>
        <xdr:grpSpPr>
          <a:xfrm>
            <a:off x="4429125" y="4524375"/>
            <a:ext cx="1352550" cy="861227"/>
            <a:chOff x="4429125" y="4524375"/>
            <a:chExt cx="1352550" cy="861227"/>
          </a:xfrm>
        </xdr:grpSpPr>
        <xdr:sp macro="" textlink="">
          <xdr:nvSpPr>
            <xdr:cNvPr id="273" name="ParentesiGraffaFormulaSuperiore">
              <a:extLst>
                <a:ext uri="{FF2B5EF4-FFF2-40B4-BE49-F238E27FC236}">
                  <a16:creationId xmlns:a16="http://schemas.microsoft.com/office/drawing/2014/main" id="{36B585B0-0CA8-40C9-B8A4-354751F708F4}"/>
                </a:ext>
              </a:extLst>
            </xdr:cNvPr>
            <xdr:cNvSpPr/>
          </xdr:nvSpPr>
          <xdr:spPr>
            <a:xfrm rot="5400000">
              <a:off x="4855761"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esto_CalloutFormulaSuperiore" descr="Quale intervallo vuoi esaminare?&#10;">
              <a:extLst>
                <a:ext uri="{FF2B5EF4-FFF2-40B4-BE49-F238E27FC236}">
                  <a16:creationId xmlns:a16="http://schemas.microsoft.com/office/drawing/2014/main" id="{34D80480-D101-45AC-B9CF-78D23DC421E6}"/>
                </a:ext>
              </a:extLst>
            </xdr:cNvPr>
            <xdr:cNvSpPr txBox="1">
              <a:spLocks noChangeArrowheads="1"/>
            </xdr:cNvSpPr>
          </xdr:nvSpPr>
          <xdr:spPr bwMode="auto">
            <a:xfrm>
              <a:off x="442912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Quale intervallo vuoi esaminare?</a:t>
              </a:r>
            </a:p>
          </xdr:txBody>
        </xdr:sp>
      </xdr:grpSp>
      <xdr:grpSp>
        <xdr:nvGrpSpPr>
          <xdr:cNvPr id="270" name="Gruppo 269">
            <a:extLst>
              <a:ext uri="{FF2B5EF4-FFF2-40B4-BE49-F238E27FC236}">
                <a16:creationId xmlns:a16="http://schemas.microsoft.com/office/drawing/2014/main" id="{2CCDD87F-488A-4F59-94B0-9890040AE4A5}"/>
              </a:ext>
            </a:extLst>
          </xdr:cNvPr>
          <xdr:cNvGrpSpPr/>
        </xdr:nvGrpSpPr>
        <xdr:grpSpPr>
          <a:xfrm>
            <a:off x="5267325" y="5610223"/>
            <a:ext cx="1571625" cy="838202"/>
            <a:chOff x="5267325" y="5610223"/>
            <a:chExt cx="1571625" cy="838202"/>
          </a:xfrm>
        </xdr:grpSpPr>
        <xdr:sp macro="" textlink="">
          <xdr:nvSpPr>
            <xdr:cNvPr id="271" name="ParentesiGraffaFormulaInferiore">
              <a:extLst>
                <a:ext uri="{FF2B5EF4-FFF2-40B4-BE49-F238E27FC236}">
                  <a16:creationId xmlns:a16="http://schemas.microsoft.com/office/drawing/2014/main" id="{A61DA540-4BFA-41A7-A504-CCFAB774EC94}"/>
                </a:ext>
              </a:extLst>
            </xdr:cNvPr>
            <xdr:cNvSpPr/>
          </xdr:nvSpPr>
          <xdr:spPr>
            <a:xfrm rot="16200000">
              <a:off x="57987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esto_CalloutFormulaInferiore" descr="Quale valore (testo o numero) vuoi cercare?&#10;">
              <a:extLst>
                <a:ext uri="{FF2B5EF4-FFF2-40B4-BE49-F238E27FC236}">
                  <a16:creationId xmlns:a16="http://schemas.microsoft.com/office/drawing/2014/main" id="{73BBFD57-E525-4CF9-A6E9-242691515557}"/>
                </a:ext>
              </a:extLst>
            </xdr:cNvPr>
            <xdr:cNvSpPr txBox="1">
              <a:spLocks noChangeArrowheads="1"/>
            </xdr:cNvSpPr>
          </xdr:nvSpPr>
          <xdr:spPr bwMode="auto">
            <a:xfrm>
              <a:off x="5267325" y="5962650"/>
              <a:ext cx="15716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Quale valore (testo o numero) vuoi cercare?</a:t>
              </a:r>
            </a:p>
          </xdr:txBody>
        </xdr:sp>
      </xdr:grpSp>
    </xdr:grpSp>
    <xdr:clientData/>
  </xdr:twoCellAnchor>
  <xdr:twoCellAnchor>
    <xdr:from>
      <xdr:col>0</xdr:col>
      <xdr:colOff>571501</xdr:colOff>
      <xdr:row>74</xdr:row>
      <xdr:rowOff>180957</xdr:rowOff>
    </xdr:from>
    <xdr:to>
      <xdr:col>1</xdr:col>
      <xdr:colOff>5199622</xdr:colOff>
      <xdr:row>85</xdr:row>
      <xdr:rowOff>21119</xdr:rowOff>
    </xdr:to>
    <xdr:grpSp>
      <xdr:nvGrpSpPr>
        <xdr:cNvPr id="275" name="Gruppo 274">
          <a:extLst>
            <a:ext uri="{FF2B5EF4-FFF2-40B4-BE49-F238E27FC236}">
              <a16:creationId xmlns:a16="http://schemas.microsoft.com/office/drawing/2014/main" id="{847274C0-AC26-4344-B2CE-53D60DDD0425}"/>
            </a:ext>
          </a:extLst>
        </xdr:cNvPr>
        <xdr:cNvGrpSpPr/>
      </xdr:nvGrpSpPr>
      <xdr:grpSpPr>
        <a:xfrm>
          <a:off x="571501" y="14887557"/>
          <a:ext cx="5475846" cy="1935662"/>
          <a:chOff x="590806" y="14144607"/>
          <a:chExt cx="5446867" cy="1964237"/>
        </a:xfrm>
      </xdr:grpSpPr>
      <xdr:sp macro="" textlink="">
        <xdr:nvSpPr>
          <xdr:cNvPr id="276" name="ParentesiGraffaFormulaInferiore">
            <a:extLst>
              <a:ext uri="{FF2B5EF4-FFF2-40B4-BE49-F238E27FC236}">
                <a16:creationId xmlns:a16="http://schemas.microsoft.com/office/drawing/2014/main" id="{97A01290-7C21-4B89-985F-9ACD27071CF1}"/>
              </a:ext>
            </a:extLst>
          </xdr:cNvPr>
          <xdr:cNvSpPr/>
        </xdr:nvSpPr>
        <xdr:spPr>
          <a:xfrm rot="16200000">
            <a:off x="5345024"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ParentesiGraffaFormulaInferiore">
            <a:extLst>
              <a:ext uri="{FF2B5EF4-FFF2-40B4-BE49-F238E27FC236}">
                <a16:creationId xmlns:a16="http://schemas.microsoft.com/office/drawing/2014/main" id="{FBA8E8F9-1C1F-46A9-819E-ED4261288C76}"/>
              </a:ext>
            </a:extLst>
          </xdr:cNvPr>
          <xdr:cNvSpPr/>
        </xdr:nvSpPr>
        <xdr:spPr>
          <a:xfrm rot="16200000">
            <a:off x="3632102"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ParentesiGraffaFormulaSuperiore">
            <a:extLst>
              <a:ext uri="{FF2B5EF4-FFF2-40B4-BE49-F238E27FC236}">
                <a16:creationId xmlns:a16="http://schemas.microsoft.com/office/drawing/2014/main" id="{44603805-5C4E-4370-B762-A5B53406A8B3}"/>
              </a:ext>
            </a:extLst>
          </xdr:cNvPr>
          <xdr:cNvSpPr/>
        </xdr:nvSpPr>
        <xdr:spPr>
          <a:xfrm rot="5400000">
            <a:off x="4470255" y="14270310"/>
            <a:ext cx="495146" cy="99315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ParentesiGraffaFormulaSuperiore">
            <a:extLst>
              <a:ext uri="{FF2B5EF4-FFF2-40B4-BE49-F238E27FC236}">
                <a16:creationId xmlns:a16="http://schemas.microsoft.com/office/drawing/2014/main" id="{02E6B0A4-8693-43A2-A27C-ECA0F01F93E4}"/>
              </a:ext>
            </a:extLst>
          </xdr:cNvPr>
          <xdr:cNvSpPr/>
        </xdr:nvSpPr>
        <xdr:spPr>
          <a:xfrm rot="5400000">
            <a:off x="2786998" y="14283001"/>
            <a:ext cx="495146" cy="96776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esto_Formula" descr="=CONTA.PIÙ.SE(F50:F61;F64;G50:G61;G64)&#10;">
            <a:extLst>
              <a:ext uri="{FF2B5EF4-FFF2-40B4-BE49-F238E27FC236}">
                <a16:creationId xmlns:a16="http://schemas.microsoft.com/office/drawing/2014/main" id="{9B024B79-A0D7-4146-8614-608EC9FDD326}"/>
              </a:ext>
            </a:extLst>
          </xdr:cNvPr>
          <xdr:cNvSpPr txBox="1"/>
        </xdr:nvSpPr>
        <xdr:spPr>
          <a:xfrm>
            <a:off x="590806" y="14982175"/>
            <a:ext cx="5381567"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1900" spc="-30" baseline="0">
                <a:solidFill>
                  <a:srgbClr val="000000"/>
                </a:solidFill>
                <a:effectLst/>
                <a:latin typeface="Courier New" panose="02070309020205020404" pitchFamily="49" charset="0"/>
                <a:ea typeface="Times New Roman" panose="02020603050405020304" pitchFamily="18" charset="0"/>
              </a:rPr>
              <a:t>=CONTA.PIÙ.SE(F50:F61;F64;G50:G61;G64)</a:t>
            </a:r>
            <a:endParaRPr lang="en-US" sz="1900" spc="-30" baseline="0">
              <a:effectLst/>
              <a:latin typeface="Courier New" panose="02070309020205020404" pitchFamily="49" charset="0"/>
              <a:ea typeface="Times New Roman" panose="02020603050405020304" pitchFamily="18" charset="0"/>
            </a:endParaRPr>
          </a:p>
        </xdr:txBody>
      </xdr:sp>
      <xdr:sp macro="" textlink="">
        <xdr:nvSpPr>
          <xdr:cNvPr id="281" name="testo_CalloutFormulaSuperiore" descr="Questo è il primo intervallo da contare&#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332638" y="14144607"/>
            <a:ext cx="142267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primo intervallo da contare</a:t>
            </a:r>
          </a:p>
        </xdr:txBody>
      </xdr:sp>
      <xdr:sp macro="" textlink="">
        <xdr:nvSpPr>
          <xdr:cNvPr id="282" name="testo_CalloutFormulaSuperiore" descr="Questo è il secondo intervallo da contare&#10;">
            <a:extLst>
              <a:ext uri="{FF2B5EF4-FFF2-40B4-BE49-F238E27FC236}">
                <a16:creationId xmlns:a16="http://schemas.microsoft.com/office/drawing/2014/main" id="{11EE695F-0D8C-4F27-9607-875A146520A9}"/>
              </a:ext>
            </a:extLst>
          </xdr:cNvPr>
          <xdr:cNvSpPr txBox="1">
            <a:spLocks noChangeArrowheads="1"/>
          </xdr:cNvSpPr>
        </xdr:nvSpPr>
        <xdr:spPr bwMode="auto">
          <a:xfrm>
            <a:off x="4057673" y="14144607"/>
            <a:ext cx="1374645"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it" sz="1100">
                <a:effectLst/>
                <a:latin typeface="Calibri" panose="020F0502020204030204" pitchFamily="34" charset="0"/>
                <a:ea typeface="+mn-ea"/>
                <a:cs typeface="+mn-cs"/>
              </a:rPr>
              <a:t>Questo è il secondo intervallo da contare</a:t>
            </a:r>
            <a:endParaRPr lang="en-US">
              <a:effectLst/>
              <a:latin typeface="Calibri" panose="020F0502020204030204" pitchFamily="34" charset="0"/>
            </a:endParaRPr>
          </a:p>
        </xdr:txBody>
      </xdr:sp>
      <xdr:sp macro="" textlink="">
        <xdr:nvSpPr>
          <xdr:cNvPr id="283" name="testo_CalloutFormulaInferiore" descr="Questo è il criterio per la prima corrispondenza&#10;&#10;">
            <a:extLst>
              <a:ext uri="{FF2B5EF4-FFF2-40B4-BE49-F238E27FC236}">
                <a16:creationId xmlns:a16="http://schemas.microsoft.com/office/drawing/2014/main" id="{CA955A6F-F900-4254-A38C-2B84B32EF341}"/>
              </a:ext>
            </a:extLst>
          </xdr:cNvPr>
          <xdr:cNvSpPr txBox="1">
            <a:spLocks noChangeArrowheads="1"/>
          </xdr:cNvSpPr>
        </xdr:nvSpPr>
        <xdr:spPr bwMode="auto">
          <a:xfrm>
            <a:off x="2722675" y="15615070"/>
            <a:ext cx="15537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it" sz="1100">
                <a:effectLst/>
                <a:latin typeface="Calibri" panose="020F0502020204030204" pitchFamily="34" charset="0"/>
                <a:ea typeface="+mn-ea"/>
                <a:cs typeface="+mn-cs"/>
              </a:rPr>
              <a:t>Questo è il criterio per la prima corrispondenza</a:t>
            </a:r>
            <a:endParaRPr lang="en-US">
              <a:effectLst/>
              <a:latin typeface="Calibri" panose="020F0502020204030204" pitchFamily="34" charset="0"/>
            </a:endParaRPr>
          </a:p>
        </xdr:txBody>
      </xdr:sp>
      <xdr:sp macro="" textlink="">
        <xdr:nvSpPr>
          <xdr:cNvPr id="284" name="testo_CalloutFormulaInferiore" descr="Questo è il criterio per la seconda corrispondenza&#10;">
            <a:extLst>
              <a:ext uri="{FF2B5EF4-FFF2-40B4-BE49-F238E27FC236}">
                <a16:creationId xmlns:a16="http://schemas.microsoft.com/office/drawing/2014/main" id="{838EB08C-21C3-4C95-9A03-F7C12DFF31CD}"/>
              </a:ext>
            </a:extLst>
          </xdr:cNvPr>
          <xdr:cNvSpPr txBox="1">
            <a:spLocks noChangeArrowheads="1"/>
          </xdr:cNvSpPr>
        </xdr:nvSpPr>
        <xdr:spPr bwMode="auto">
          <a:xfrm>
            <a:off x="4418540" y="15615070"/>
            <a:ext cx="1619133"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criterio</a:t>
            </a:r>
            <a:r>
              <a:rPr lang="it" sz="1100" baseline="0">
                <a:effectLst/>
                <a:latin typeface="Calibri" panose="020F0502020204030204" pitchFamily="34" charset="0"/>
                <a:ea typeface="Calibri" panose="020F0502020204030204" pitchFamily="34" charset="0"/>
                <a:cs typeface="Times New Roman" panose="02020603050405020304" pitchFamily="18" charset="0"/>
              </a:rPr>
              <a:t> per la seconda corrispondenza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87</xdr:row>
      <xdr:rowOff>28575</xdr:rowOff>
    </xdr:from>
    <xdr:to>
      <xdr:col>1</xdr:col>
      <xdr:colOff>2446842</xdr:colOff>
      <xdr:row>89</xdr:row>
      <xdr:rowOff>178499</xdr:rowOff>
    </xdr:to>
    <xdr:sp macro="" textlink="">
      <xdr:nvSpPr>
        <xdr:cNvPr id="285" name="Pulsante Altri dettagli" descr="Altri dettagli">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2116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xdr:from>
      <xdr:col>0</xdr:col>
      <xdr:colOff>619125</xdr:colOff>
      <xdr:row>112</xdr:row>
      <xdr:rowOff>66675</xdr:rowOff>
    </xdr:from>
    <xdr:to>
      <xdr:col>1</xdr:col>
      <xdr:colOff>2494467</xdr:colOff>
      <xdr:row>115</xdr:row>
      <xdr:rowOff>26099</xdr:rowOff>
    </xdr:to>
    <xdr:sp macro="" textlink="">
      <xdr:nvSpPr>
        <xdr:cNvPr id="131" name="Pulsante Altri dettagli" descr="Altri dettagli">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012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GUARDA QUI" descr="GUARDA QUI&#10;&#10;">
          <a:extLst>
            <a:ext uri="{FF2B5EF4-FFF2-40B4-BE49-F238E27FC236}">
              <a16:creationId xmlns:a16="http://schemas.microsoft.com/office/drawing/2014/main" id="{16122225-CAAD-44E9-BB30-7B1C9C3D2195}"/>
            </a:ext>
          </a:extLst>
        </xdr:cNvPr>
        <xdr:cNvGrpSpPr/>
      </xdr:nvGrpSpPr>
      <xdr:grpSpPr>
        <a:xfrm>
          <a:off x="6972300" y="2505075"/>
          <a:ext cx="2476500" cy="1716628"/>
          <a:chOff x="7830674" y="7686975"/>
          <a:chExt cx="2476379" cy="1716628"/>
        </a:xfrm>
      </xdr:grpSpPr>
      <xdr:grpSp>
        <xdr:nvGrpSpPr>
          <xdr:cNvPr id="77" name="Linee parentesi quadre">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ltra linea parentesi quadra" descr="Linea parentesi quadra">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inea parentesi quadra" descr="Linea parentesi quadra&#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Stelle" descr="Stelle">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struzioni"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Dovresti ottenere </a:t>
            </a:r>
            <a:r>
              <a:rPr lang="it" sz="1100" b="1" kern="0">
                <a:solidFill>
                  <a:schemeClr val="bg2">
                    <a:lumMod val="25000"/>
                  </a:schemeClr>
                </a:solidFill>
                <a:latin typeface="+mn-lt"/>
                <a:ea typeface="Segoe UI" pitchFamily="34" charset="0"/>
                <a:cs typeface="Segoe UI Light" panose="020B0502040204020203" pitchFamily="34" charset="0"/>
              </a:rPr>
              <a:t>=CERCA.VERT(C10;C5:D8;2;FALSO)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po 81">
          <a:extLst>
            <a:ext uri="{FF2B5EF4-FFF2-40B4-BE49-F238E27FC236}">
              <a16:creationId xmlns:a16="http://schemas.microsoft.com/office/drawing/2014/main" id="{1015345F-A070-4EDE-8224-DC487667438E}"/>
            </a:ext>
          </a:extLst>
        </xdr:cNvPr>
        <xdr:cNvGrpSpPr/>
      </xdr:nvGrpSpPr>
      <xdr:grpSpPr>
        <a:xfrm>
          <a:off x="352425" y="7239000"/>
          <a:ext cx="5733288" cy="2667000"/>
          <a:chOff x="352425" y="10715625"/>
          <a:chExt cx="5733288" cy="2390775"/>
        </a:xfrm>
      </xdr:grpSpPr>
      <xdr:sp macro="" textlink="">
        <xdr:nvSpPr>
          <xdr:cNvPr id="83" name="Rettango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Passaggio" descr="Altre informazioni sul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nettore diritto 84" descr="Line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nettore diritto 85" descr="Line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2562225</xdr:colOff>
      <xdr:row>40</xdr:row>
      <xdr:rowOff>147073</xdr:rowOff>
    </xdr:to>
    <xdr:grpSp>
      <xdr:nvGrpSpPr>
        <xdr:cNvPr id="5" name="Gruppo 4">
          <a:extLst>
            <a:ext uri="{FF2B5EF4-FFF2-40B4-BE49-F238E27FC236}">
              <a16:creationId xmlns:a16="http://schemas.microsoft.com/office/drawing/2014/main" id="{82632918-520D-4E51-9E28-E3DEB82D9A91}"/>
            </a:ext>
          </a:extLst>
        </xdr:cNvPr>
        <xdr:cNvGrpSpPr/>
      </xdr:nvGrpSpPr>
      <xdr:grpSpPr>
        <a:xfrm>
          <a:off x="562406" y="8008069"/>
          <a:ext cx="2866594" cy="359079"/>
          <a:chOff x="562406" y="11008444"/>
          <a:chExt cx="2866594" cy="359079"/>
        </a:xfrm>
      </xdr:grpSpPr>
      <xdr:sp macro="" textlink="">
        <xdr:nvSpPr>
          <xdr:cNvPr id="87" name="Passaggio" descr="Informazioni complete sulla funzione SE, con collegamento ipertestuale al Web&#10;&#10;">
            <a:hlinkClick xmlns:r="http://schemas.openxmlformats.org/officeDocument/2006/relationships" r:id="rId3" tooltip="Seleziona per ottenere informazioni complete dal Web sulle formule disponibili in Excel"/>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Panoramica</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delle formule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Elemento grafico 22" descr="Freccia">
            <a:hlinkClick xmlns:r="http://schemas.openxmlformats.org/officeDocument/2006/relationships" r:id="rId3" tooltip="Seleziona per ottenere altre informazioni dal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3457574</xdr:colOff>
      <xdr:row>42</xdr:row>
      <xdr:rowOff>146449</xdr:rowOff>
    </xdr:to>
    <xdr:grpSp>
      <xdr:nvGrpSpPr>
        <xdr:cNvPr id="4" name="Gruppo 3">
          <a:extLst>
            <a:ext uri="{FF2B5EF4-FFF2-40B4-BE49-F238E27FC236}">
              <a16:creationId xmlns:a16="http://schemas.microsoft.com/office/drawing/2014/main" id="{98FAF5DD-EE61-45C8-981A-2D0D0E97F1D8}"/>
            </a:ext>
          </a:extLst>
        </xdr:cNvPr>
        <xdr:cNvGrpSpPr/>
      </xdr:nvGrpSpPr>
      <xdr:grpSpPr>
        <a:xfrm>
          <a:off x="562406" y="8383135"/>
          <a:ext cx="3761943" cy="364389"/>
          <a:chOff x="562406" y="11383510"/>
          <a:chExt cx="3761943" cy="364389"/>
        </a:xfrm>
      </xdr:grpSpPr>
      <xdr:sp macro="" textlink="">
        <xdr:nvSpPr>
          <xdr:cNvPr id="89" name="Passaggio" descr="Informazioni complete sulla funzione PIÙ.SE, con collegamento ipertestuale al Web&#10;">
            <a:hlinkClick xmlns:r="http://schemas.openxmlformats.org/officeDocument/2006/relationships" r:id="rId6" tooltip="Seleziona per visualizzare tutte le funzioni di Excel per categoria sul Web"/>
            <a:extLst>
              <a:ext uri="{FF2B5EF4-FFF2-40B4-BE49-F238E27FC236}">
                <a16:creationId xmlns:a16="http://schemas.microsoft.com/office/drawing/2014/main" id="{D3CD53C6-1DF8-4009-A56B-751B768B6B8A}"/>
              </a:ext>
            </a:extLst>
          </xdr:cNvPr>
          <xdr:cNvSpPr txBox="1"/>
        </xdr:nvSpPr>
        <xdr:spPr>
          <a:xfrm>
            <a:off x="1027590" y="11460686"/>
            <a:ext cx="32967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Funzioni di Excel (in base alla </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categoria)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Elemento grafico 22" descr="Freccia">
            <a:hlinkClick xmlns:r="http://schemas.openxmlformats.org/officeDocument/2006/relationships" r:id="rId6" tooltip="Seleziona per ottenere altre informazioni dal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3981450</xdr:colOff>
      <xdr:row>46</xdr:row>
      <xdr:rowOff>177367</xdr:rowOff>
    </xdr:to>
    <xdr:grpSp>
      <xdr:nvGrpSpPr>
        <xdr:cNvPr id="2" name="Gruppo 1">
          <a:extLst>
            <a:ext uri="{FF2B5EF4-FFF2-40B4-BE49-F238E27FC236}">
              <a16:creationId xmlns:a16="http://schemas.microsoft.com/office/drawing/2014/main" id="{2F82E782-5C9A-405F-90E2-13AE28FFFCBD}"/>
            </a:ext>
          </a:extLst>
        </xdr:cNvPr>
        <xdr:cNvGrpSpPr/>
      </xdr:nvGrpSpPr>
      <xdr:grpSpPr>
        <a:xfrm>
          <a:off x="562406" y="9176053"/>
          <a:ext cx="4285819" cy="364389"/>
          <a:chOff x="562406" y="12176428"/>
          <a:chExt cx="4285819" cy="364389"/>
        </a:xfrm>
      </xdr:grpSpPr>
      <xdr:sp macro="" textlink="">
        <xdr:nvSpPr>
          <xdr:cNvPr id="91" name="Passaggio" descr="Formazione gratuita su Excel disponibile online, con collegamento ipertestuale al Web&#10;">
            <a:hlinkClick xmlns:r="http://schemas.openxmlformats.org/officeDocument/2006/relationships" r:id="rId7" tooltip="Seleziona per ottenere informazioni sulle risorse di formazione gratuita su Excel sul Web"/>
            <a:extLst>
              <a:ext uri="{FF2B5EF4-FFF2-40B4-BE49-F238E27FC236}">
                <a16:creationId xmlns:a16="http://schemas.microsoft.com/office/drawing/2014/main" id="{19A3D044-BB8D-41AF-8364-CFED7743E9E8}"/>
              </a:ext>
            </a:extLst>
          </xdr:cNvPr>
          <xdr:cNvSpPr txBox="1"/>
        </xdr:nvSpPr>
        <xdr:spPr>
          <a:xfrm>
            <a:off x="1040199" y="12227532"/>
            <a:ext cx="38080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92" name="Elemento grafico 22" descr="Freccia">
            <a:hlinkClick xmlns:r="http://schemas.openxmlformats.org/officeDocument/2006/relationships" r:id="rId7" tooltip="Seleziona per ottenere altre informazioni dal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3752850</xdr:colOff>
      <xdr:row>44</xdr:row>
      <xdr:rowOff>145825</xdr:rowOff>
    </xdr:to>
    <xdr:grpSp>
      <xdr:nvGrpSpPr>
        <xdr:cNvPr id="3" name="Gruppo 2">
          <a:extLst>
            <a:ext uri="{FF2B5EF4-FFF2-40B4-BE49-F238E27FC236}">
              <a16:creationId xmlns:a16="http://schemas.microsoft.com/office/drawing/2014/main" id="{F4AC7FE3-2FB4-4A3F-8F6D-E41D0BF24478}"/>
            </a:ext>
          </a:extLst>
        </xdr:cNvPr>
        <xdr:cNvGrpSpPr/>
      </xdr:nvGrpSpPr>
      <xdr:grpSpPr>
        <a:xfrm>
          <a:off x="562406" y="8763511"/>
          <a:ext cx="4057219" cy="364389"/>
          <a:chOff x="562406" y="11763886"/>
          <a:chExt cx="4057219" cy="364389"/>
        </a:xfrm>
      </xdr:grpSpPr>
      <xdr:sp macro="" textlink="">
        <xdr:nvSpPr>
          <xdr:cNvPr id="93" name="Passaggio" descr="Istruzioni SE avanzate, con collegamento ipertestuale al Web&#10;">
            <a:hlinkClick xmlns:r="http://schemas.openxmlformats.org/officeDocument/2006/relationships" r:id="rId8" tooltip="Seleziona per visualizzare tutte le funzioni di Excel in ordine alfabetico sul Web"/>
            <a:extLst>
              <a:ext uri="{FF2B5EF4-FFF2-40B4-BE49-F238E27FC236}">
                <a16:creationId xmlns:a16="http://schemas.microsoft.com/office/drawing/2014/main" id="{0C9EBEA8-904F-4B13-9D34-42D4C435F750}"/>
              </a:ext>
            </a:extLst>
          </xdr:cNvPr>
          <xdr:cNvSpPr txBox="1"/>
        </xdr:nvSpPr>
        <xdr:spPr>
          <a:xfrm>
            <a:off x="1027591" y="11832161"/>
            <a:ext cx="359203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Funzioni di Excel (in ordine alfabetico)</a:t>
            </a:r>
          </a:p>
        </xdr:txBody>
      </xdr:sp>
      <xdr:pic>
        <xdr:nvPicPr>
          <xdr:cNvPr id="94"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esto_SfondoPresentazione" descr="Sfondo">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esto_TitoloPresentazione" descr="Creazione guidata Funzione">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Creazione guidata Funzione</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esto_LineaPresentazione1" descr="Linea decorativa">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esto_LineaPresentazione2" descr="Linea decorativa">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esto_IntroPresentazione" descr="Se conosci il nome della formula che vuoi usare, ma non sai con certezza come costruirla, puoi usare la Creazione guidata Funzione.">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conosci il nome della formula che vuoi usare, ma non sai con certezza come costruirla, puoi usare la Creazione guidata Funzione.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57141</xdr:rowOff>
    </xdr:from>
    <xdr:to>
      <xdr:col>1</xdr:col>
      <xdr:colOff>4943475</xdr:colOff>
      <xdr:row>10</xdr:row>
      <xdr:rowOff>19052</xdr:rowOff>
    </xdr:to>
    <xdr:grpSp>
      <xdr:nvGrpSpPr>
        <xdr:cNvPr id="67" name="gruppo_Passaggio">
          <a:extLst>
            <a:ext uri="{FF2B5EF4-FFF2-40B4-BE49-F238E27FC236}">
              <a16:creationId xmlns:a16="http://schemas.microsoft.com/office/drawing/2014/main" id="{BD77C92C-5C36-46AE-A637-B10B8A476780}"/>
            </a:ext>
          </a:extLst>
        </xdr:cNvPr>
        <xdr:cNvGrpSpPr/>
      </xdr:nvGrpSpPr>
      <xdr:grpSpPr>
        <a:xfrm>
          <a:off x="576262" y="1581141"/>
          <a:ext cx="5233988" cy="933461"/>
          <a:chOff x="647700" y="7419975"/>
          <a:chExt cx="5326256" cy="893480"/>
        </a:xfrm>
      </xdr:grpSpPr>
      <xdr:sp macro="" textlink="">
        <xdr:nvSpPr>
          <xdr:cNvPr id="68" name="testo_Passaggio" descr="Seleziona la cella D16 e passa a Formule &gt; Inserisci funzione, digita CERCA.VERT nella casella Cerca una funzione, quindi scegli Vai. Quando viene evidenziato CERCA.VERT, fai clic su OK nella parte inferiore. Quando selezioni una funzione nell'elenco, Excel ne visualizza la sintassi.&#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Seleziona la cella D10 e passa a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Formule</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Inserisci funzione </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&gt; digita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CERCA.VERT </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nella casella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Cerca una funzione</a:t>
            </a:r>
            <a:r>
              <a:rPr lang="it" sz="1100" b="1"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it"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scegli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Vai</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Quando viene evidenziato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CERCA.VERT</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fai clic su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nella parte inferiore.</a:t>
            </a:r>
            <a:r>
              <a:rPr lang="it" sz="1100">
                <a:solidFill>
                  <a:schemeClr val="tx1">
                    <a:lumMod val="75000"/>
                    <a:lumOff val="25000"/>
                  </a:schemeClr>
                </a:solidFill>
                <a:latin typeface="Segoe UI" panose="020B0502040204020203" pitchFamily="34" charset="0"/>
                <a:cs typeface="Segoe UI" panose="020B0502040204020203" pitchFamily="34" charset="0"/>
              </a:rPr>
              <a:t> Quando selezioni una funzione nell'elenco</a:t>
            </a:r>
            <a:r>
              <a:rPr lang="it" sz="1100" baseline="0">
                <a:solidFill>
                  <a:schemeClr val="tx1">
                    <a:lumMod val="75000"/>
                    <a:lumOff val="25000"/>
                  </a:schemeClr>
                </a:solidFill>
                <a:latin typeface="Segoe UI" panose="020B0502040204020203" pitchFamily="34" charset="0"/>
                <a:cs typeface="Segoe UI" panose="020B0502040204020203" pitchFamily="34" charset="0"/>
              </a:rPr>
              <a:t>, Excel ne visualizza la sintassi.</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forma_Passaggio"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uppo_Passaggio">
          <a:extLst>
            <a:ext uri="{FF2B5EF4-FFF2-40B4-BE49-F238E27FC236}">
              <a16:creationId xmlns:a16="http://schemas.microsoft.com/office/drawing/2014/main" id="{BF405A0F-7FA6-4E62-A4D2-D48FD5B37F21}"/>
            </a:ext>
          </a:extLst>
        </xdr:cNvPr>
        <xdr:cNvGrpSpPr/>
      </xdr:nvGrpSpPr>
      <xdr:grpSpPr>
        <a:xfrm>
          <a:off x="576262" y="2576512"/>
          <a:ext cx="5195887" cy="890586"/>
          <a:chOff x="609600" y="7810500"/>
          <a:chExt cx="5186234" cy="876582"/>
        </a:xfrm>
      </xdr:grpSpPr>
      <xdr:sp macro="" textlink="">
        <xdr:nvSpPr>
          <xdr:cNvPr id="72" name="testo_Passaggio"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Immetti quindi gli argomenti della funzione nelle caselle di testo corrispondenti. Ogni volta che ne immetti uno, Excel lo valuta e mostra il relativo risultato, con il risultato finale nella parte inferiore. Al termine scegli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immette automaticamente la formula.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forma_Passaggio"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ulsanteIndietro" descr="Torna al foglio precedente">
          <a:hlinkClick xmlns:r="http://schemas.openxmlformats.org/officeDocument/2006/relationships" r:id="rId9" tooltip="Fai clic qui per tornare al foglio precedente"/>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PulsanteAvanti" descr="Passa al foglio successivo">
          <a:hlinkClick xmlns:r="http://schemas.openxmlformats.org/officeDocument/2006/relationships" r:id="rId10" tooltip="Fai clic qui per passare al foglio successivo"/>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oneCell">
    <xdr:from>
      <xdr:col>1</xdr:col>
      <xdr:colOff>228600</xdr:colOff>
      <xdr:row>15</xdr:row>
      <xdr:rowOff>125113</xdr:rowOff>
    </xdr:from>
    <xdr:to>
      <xdr:col>1</xdr:col>
      <xdr:colOff>4857750</xdr:colOff>
      <xdr:row>29</xdr:row>
      <xdr:rowOff>9979</xdr:rowOff>
    </xdr:to>
    <xdr:pic>
      <xdr:nvPicPr>
        <xdr:cNvPr id="7" name="Immagine 6" descr="Finestra di dialogo Argomenti funzione per CERCA.VERT">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095375" y="3582688"/>
          <a:ext cx="4629150" cy="2551866"/>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po 7">
          <a:extLst>
            <a:ext uri="{FF2B5EF4-FFF2-40B4-BE49-F238E27FC236}">
              <a16:creationId xmlns:a16="http://schemas.microsoft.com/office/drawing/2014/main" id="{8F43BB86-459B-4A39-BF41-D15966065CB8}"/>
            </a:ext>
          </a:extLst>
        </xdr:cNvPr>
        <xdr:cNvGrpSpPr/>
      </xdr:nvGrpSpPr>
      <xdr:grpSpPr>
        <a:xfrm>
          <a:off x="2411139" y="3714454"/>
          <a:ext cx="7523436" cy="3716508"/>
          <a:chOff x="2411139" y="6952954"/>
          <a:chExt cx="7523436" cy="3716508"/>
        </a:xfrm>
      </xdr:grpSpPr>
      <xdr:grpSp>
        <xdr:nvGrpSpPr>
          <xdr:cNvPr id="96" name="Grup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INFORMAZIONI UTILI" descr="INFORMAZIONI UTILI&#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Elemento grafico 147" descr="Occhiali">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Passaggio"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Puoi digitare riferimenti di cella e intervallo oppure selezionarli con il mouse.</a:t>
                </a:r>
                <a:endParaRPr lang="en-US" sz="1100">
                  <a:effectLst/>
                  <a:latin typeface="+mn-lt"/>
                </a:endParaRPr>
              </a:p>
            </xdr:txBody>
          </xdr:sp>
        </xdr:grpSp>
        <xdr:cxnSp macro="">
          <xdr:nvCxnSpPr>
            <xdr:cNvPr id="98" name="Connettore: curvo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INFORMAZIONI UTILI" descr="INFORMAZIONI UTILI&#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Elemento grafico 147" descr="Occhiali">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Passaggio"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Quando accedi alla sezione dei singoli argomenti, la descrizione dell'argomento viene visualizzata nella parte inferiore del modulo, sopra il risultato della formula.</a:t>
              </a:r>
              <a:endParaRPr lang="en-US" sz="1100">
                <a:effectLst/>
                <a:latin typeface="+mn-lt"/>
              </a:endParaRPr>
            </a:p>
          </xdr:txBody>
        </xdr:sp>
        <xdr:sp macro="" textlink="">
          <xdr:nvSpPr>
            <xdr:cNvPr id="104" name="Figura a mano libera: forma 103" descr="Frecci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49</xdr:row>
      <xdr:rowOff>152400</xdr:rowOff>
    </xdr:to>
    <xdr:sp macro="" textlink="">
      <xdr:nvSpPr>
        <xdr:cNvPr id="49" name="testo_SfondoPresentazione" descr="Sfondo">
          <a:extLst>
            <a:ext uri="{FF2B5EF4-FFF2-40B4-BE49-F238E27FC236}">
              <a16:creationId xmlns:a16="http://schemas.microsoft.com/office/drawing/2014/main" id="{82635223-B159-4E05-9CEC-2A2F6DF969F2}"/>
            </a:ext>
          </a:extLst>
        </xdr:cNvPr>
        <xdr:cNvSpPr/>
      </xdr:nvSpPr>
      <xdr:spPr>
        <a:xfrm>
          <a:off x="342900" y="361950"/>
          <a:ext cx="5734050" cy="97726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esto_TitoloPresentazione" descr="Correzione degli errori nelle formule">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Correzione degli errori nelle formule</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esto_LineaPresentazione1" descr="Linea decorativa">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46</xdr:row>
      <xdr:rowOff>78316</xdr:rowOff>
    </xdr:from>
    <xdr:to>
      <xdr:col>1</xdr:col>
      <xdr:colOff>4946626</xdr:colOff>
      <xdr:row>46</xdr:row>
      <xdr:rowOff>78316</xdr:rowOff>
    </xdr:to>
    <xdr:cxnSp macro="">
      <xdr:nvCxnSpPr>
        <xdr:cNvPr id="52" name="testo_LineaPresentazione2" descr="Linea decorativa">
          <a:extLst>
            <a:ext uri="{FF2B5EF4-FFF2-40B4-BE49-F238E27FC236}">
              <a16:creationId xmlns:a16="http://schemas.microsoft.com/office/drawing/2014/main" id="{B4EB5A39-3087-404B-86D1-9EB6F9D1ABB3}"/>
            </a:ext>
          </a:extLst>
        </xdr:cNvPr>
        <xdr:cNvCxnSpPr>
          <a:cxnSpLocks/>
        </xdr:cNvCxnSpPr>
      </xdr:nvCxnSpPr>
      <xdr:spPr>
        <a:xfrm>
          <a:off x="565153" y="94890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esto_IntroPresentazione" descr="Se una formula contiene un errore, Excel mostra #NomeErrore!. Gli errori possono essere utili perché indicano che qualcosa non funziona correttamente, ma possono essere difficili da risolvere. Per fortuna ci sono diverse opzioni che facilitano l'individuazione dell'origine dell'errore e la relativa correzione.">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una formula contiene un errore, Excel mostra #NomeErrore. Gli errori possono essere utili perché indicano che qualcosa non funziona correttamente, ma possono essere difficili da risolvere. Per fortuna ci sono diverse opzioni che facilitano l'individuazione dell'origine dell'errore e la relativa correzione.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666924</xdr:colOff>
      <xdr:row>7</xdr:row>
      <xdr:rowOff>19050</xdr:rowOff>
    </xdr:from>
    <xdr:to>
      <xdr:col>1</xdr:col>
      <xdr:colOff>5039317</xdr:colOff>
      <xdr:row>12</xdr:row>
      <xdr:rowOff>85725</xdr:rowOff>
    </xdr:to>
    <xdr:grpSp>
      <xdr:nvGrpSpPr>
        <xdr:cNvPr id="2" name="Gruppo 1">
          <a:extLst>
            <a:ext uri="{FF2B5EF4-FFF2-40B4-BE49-F238E27FC236}">
              <a16:creationId xmlns:a16="http://schemas.microsoft.com/office/drawing/2014/main" id="{A8B5C958-0EB2-41E2-B876-52C03CDCE6CA}"/>
            </a:ext>
          </a:extLst>
        </xdr:cNvPr>
        <xdr:cNvGrpSpPr/>
      </xdr:nvGrpSpPr>
      <xdr:grpSpPr>
        <a:xfrm>
          <a:off x="666924" y="1924050"/>
          <a:ext cx="5239168" cy="1057275"/>
          <a:chOff x="571500" y="1924050"/>
          <a:chExt cx="5229626" cy="1057275"/>
        </a:xfrm>
      </xdr:grpSpPr>
      <xdr:sp macro="" textlink="">
        <xdr:nvSpPr>
          <xdr:cNvPr id="55" name="testo_Passaggio" descr="Controllo errori: vai a Formule &gt; Controllo errori. Viene visualizzata una finestra di dialogo che indica la causa generale dell'errore specifico. L'errore #N/D cella D9 è causato dal fatto che non esiste un valore corrispondente a &quot;Mela&quot;. Puoi risolvere l'errore usando un valore esistente, eliminare l'errore con SE.ERRORE oppure ignorarlo, contando sul fatto che scomparirà quando userai un valore effettivamente esistente.">
            <a:extLst>
              <a:ext uri="{FF2B5EF4-FFF2-40B4-BE49-F238E27FC236}">
                <a16:creationId xmlns:a16="http://schemas.microsoft.com/office/drawing/2014/main" id="{4AE4624F-481E-4B9E-ABC2-5B221D8CD197}"/>
              </a:ext>
            </a:extLst>
          </xdr:cNvPr>
          <xdr:cNvSpPr txBox="1"/>
        </xdr:nvSpPr>
        <xdr:spPr>
          <a:xfrm>
            <a:off x="991382" y="1966008"/>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Controllo errori: vai 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Controllo errori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Viene visualizzata una finestra di dialogo che indica la causa generale dell'errore specifico. L'errore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#N/D</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cella D9 è causato dal fatto che non esiste un valore corrispondente a "Mela". Puoi risolvere l'errore usando un valore esistente, eliminare l'errore con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oppure ignorarlo, contando sul fatto che scomparirà quando userai un valore effettivamente esistente.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forma_Passaggio"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33626</xdr:colOff>
      <xdr:row>13</xdr:row>
      <xdr:rowOff>114300</xdr:rowOff>
    </xdr:from>
    <xdr:to>
      <xdr:col>1</xdr:col>
      <xdr:colOff>4652674</xdr:colOff>
      <xdr:row>23</xdr:row>
      <xdr:rowOff>114062</xdr:rowOff>
    </xdr:to>
    <xdr:pic>
      <xdr:nvPicPr>
        <xdr:cNvPr id="57" name="Immagine 56" descr="Finestra di dialogo Controllo errori">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00401" y="3200400"/>
          <a:ext cx="4619048" cy="1904762"/>
        </a:xfrm>
        <a:prstGeom prst="rect">
          <a:avLst/>
        </a:prstGeom>
      </xdr:spPr>
    </xdr:pic>
    <xdr:clientData/>
  </xdr:twoCellAnchor>
  <xdr:twoCellAnchor editAs="absolute">
    <xdr:from>
      <xdr:col>0</xdr:col>
      <xdr:colOff>666924</xdr:colOff>
      <xdr:row>23</xdr:row>
      <xdr:rowOff>157163</xdr:rowOff>
    </xdr:from>
    <xdr:to>
      <xdr:col>1</xdr:col>
      <xdr:colOff>5039317</xdr:colOff>
      <xdr:row>27</xdr:row>
      <xdr:rowOff>104775</xdr:rowOff>
    </xdr:to>
    <xdr:grpSp>
      <xdr:nvGrpSpPr>
        <xdr:cNvPr id="3" name="Gruppo 2">
          <a:extLst>
            <a:ext uri="{FF2B5EF4-FFF2-40B4-BE49-F238E27FC236}">
              <a16:creationId xmlns:a16="http://schemas.microsoft.com/office/drawing/2014/main" id="{76285975-E71E-42A6-9427-0A2776DA5CC0}"/>
            </a:ext>
          </a:extLst>
        </xdr:cNvPr>
        <xdr:cNvGrpSpPr/>
      </xdr:nvGrpSpPr>
      <xdr:grpSpPr>
        <a:xfrm>
          <a:off x="666924" y="5148263"/>
          <a:ext cx="5239168" cy="709612"/>
          <a:chOff x="571500" y="4957763"/>
          <a:chExt cx="5229626" cy="709612"/>
        </a:xfrm>
      </xdr:grpSpPr>
      <xdr:sp macro="" textlink="">
        <xdr:nvSpPr>
          <xdr:cNvPr id="59" name="testo_Passaggio" descr="Se fai clic su Informazioni sull'errore, viene visualizzato un argomento della Guida relativo al messaggio di errore. Se fai clic su Mostra passaggi del calcolo, viene visualizzata la finestra di dialogo Valuta formula.">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fai clic su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Informazioni sull'errore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viene visualizzato un argomento della Guida relativo al messaggio di errore. Se fai clic su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 passaggi del calcolo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viene visualizzata la finestra di dialogo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Valuta formula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forma_Passaggio"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27</xdr:row>
      <xdr:rowOff>104775</xdr:rowOff>
    </xdr:from>
    <xdr:to>
      <xdr:col>1</xdr:col>
      <xdr:colOff>4800293</xdr:colOff>
      <xdr:row>41</xdr:row>
      <xdr:rowOff>28246</xdr:rowOff>
    </xdr:to>
    <xdr:pic>
      <xdr:nvPicPr>
        <xdr:cNvPr id="61" name="Immagine 60" descr="Finestra di dialogo Valuta formula">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5857875"/>
          <a:ext cx="4914286" cy="2628571"/>
        </a:xfrm>
        <a:prstGeom prst="rect">
          <a:avLst/>
        </a:prstGeom>
      </xdr:spPr>
    </xdr:pic>
    <xdr:clientData/>
  </xdr:twoCellAnchor>
  <xdr:twoCellAnchor editAs="absolute">
    <xdr:from>
      <xdr:col>0</xdr:col>
      <xdr:colOff>666924</xdr:colOff>
      <xdr:row>41</xdr:row>
      <xdr:rowOff>104775</xdr:rowOff>
    </xdr:from>
    <xdr:to>
      <xdr:col>1</xdr:col>
      <xdr:colOff>5039317</xdr:colOff>
      <xdr:row>46</xdr:row>
      <xdr:rowOff>0</xdr:rowOff>
    </xdr:to>
    <xdr:grpSp>
      <xdr:nvGrpSpPr>
        <xdr:cNvPr id="4" name="Gruppo 3">
          <a:extLst>
            <a:ext uri="{FF2B5EF4-FFF2-40B4-BE49-F238E27FC236}">
              <a16:creationId xmlns:a16="http://schemas.microsoft.com/office/drawing/2014/main" id="{85545FAE-3743-4F8E-97DB-E0C750FA7DE7}"/>
            </a:ext>
          </a:extLst>
        </xdr:cNvPr>
        <xdr:cNvGrpSpPr/>
      </xdr:nvGrpSpPr>
      <xdr:grpSpPr>
        <a:xfrm>
          <a:off x="666924" y="8562975"/>
          <a:ext cx="5239168" cy="847725"/>
          <a:chOff x="571500" y="8372475"/>
          <a:chExt cx="5229626" cy="847725"/>
        </a:xfrm>
      </xdr:grpSpPr>
      <xdr:sp macro="" textlink="">
        <xdr:nvSpPr>
          <xdr:cNvPr id="63" name="testo_Passaggio" descr="Ogni volta che fai clic su Valuta, Excel valuta la formula una sezione alla volta. Non specifica necessariamente perché si verifica un errore, ma indica dove.">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Ogni volta che fai clic su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Valuta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valuta la formula una sezione alla volta. Non specifica necessariamente perché si verifica un errore, ma indica dove. A quel punto, esamina l'argomento della Guida per capire qual è il problema presente nella formula.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forma_Passaggio"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47</xdr:row>
      <xdr:rowOff>47625</xdr:rowOff>
    </xdr:from>
    <xdr:to>
      <xdr:col>1</xdr:col>
      <xdr:colOff>998947</xdr:colOff>
      <xdr:row>49</xdr:row>
      <xdr:rowOff>2074</xdr:rowOff>
    </xdr:to>
    <xdr:sp macro="" textlink="">
      <xdr:nvSpPr>
        <xdr:cNvPr id="65" name="PulsanteIndietro" descr="Torna al foglio precedente">
          <a:hlinkClick xmlns:r="http://schemas.openxmlformats.org/officeDocument/2006/relationships" r:id="rId3" tooltip="Fai clic qui per tornare al foglio precedente"/>
          <a:extLst>
            <a:ext uri="{FF2B5EF4-FFF2-40B4-BE49-F238E27FC236}">
              <a16:creationId xmlns:a16="http://schemas.microsoft.com/office/drawing/2014/main" id="{59901CBF-662C-46B7-9798-9856B1E5ACCE}"/>
            </a:ext>
          </a:extLst>
        </xdr:cNvPr>
        <xdr:cNvSpPr/>
      </xdr:nvSpPr>
      <xdr:spPr>
        <a:xfrm flipH="1">
          <a:off x="590550" y="96488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3669834</xdr:colOff>
      <xdr:row>47</xdr:row>
      <xdr:rowOff>47625</xdr:rowOff>
    </xdr:from>
    <xdr:to>
      <xdr:col>1</xdr:col>
      <xdr:colOff>4945006</xdr:colOff>
      <xdr:row>49</xdr:row>
      <xdr:rowOff>2074</xdr:rowOff>
    </xdr:to>
    <xdr:sp macro="" textlink="">
      <xdr:nvSpPr>
        <xdr:cNvPr id="66" name="PulsanteAvanti" descr="Passa al foglio successivo">
          <a:hlinkClick xmlns:r="http://schemas.openxmlformats.org/officeDocument/2006/relationships" r:id="rId4" tooltip="Fai clic qui per passare al foglio successivo"/>
          <a:extLst>
            <a:ext uri="{FF2B5EF4-FFF2-40B4-BE49-F238E27FC236}">
              <a16:creationId xmlns:a16="http://schemas.microsoft.com/office/drawing/2014/main" id="{A1974C03-9104-44F6-9B95-FBB22D17937B}"/>
            </a:ext>
          </a:extLst>
        </xdr:cNvPr>
        <xdr:cNvSpPr/>
      </xdr:nvSpPr>
      <xdr:spPr>
        <a:xfrm>
          <a:off x="4536609" y="96488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2</xdr:col>
      <xdr:colOff>876300</xdr:colOff>
      <xdr:row>36</xdr:row>
      <xdr:rowOff>38100</xdr:rowOff>
    </xdr:from>
    <xdr:to>
      <xdr:col>7</xdr:col>
      <xdr:colOff>438150</xdr:colOff>
      <xdr:row>42</xdr:row>
      <xdr:rowOff>46766</xdr:rowOff>
    </xdr:to>
    <xdr:grpSp>
      <xdr:nvGrpSpPr>
        <xdr:cNvPr id="67" name="ESPERIMENTO" descr="ESPERIMENTO">
          <a:extLst>
            <a:ext uri="{FF2B5EF4-FFF2-40B4-BE49-F238E27FC236}">
              <a16:creationId xmlns:a16="http://schemas.microsoft.com/office/drawing/2014/main" id="{7AB7F1CB-875F-43B5-84D0-9EF392715E5F}"/>
            </a:ext>
          </a:extLst>
        </xdr:cNvPr>
        <xdr:cNvGrpSpPr/>
      </xdr:nvGrpSpPr>
      <xdr:grpSpPr>
        <a:xfrm>
          <a:off x="7267575" y="7534275"/>
          <a:ext cx="3162300" cy="1161191"/>
          <a:chOff x="6375400" y="12710331"/>
          <a:chExt cx="4052160" cy="1161191"/>
        </a:xfrm>
      </xdr:grpSpPr>
      <xdr:sp macro="" textlink="">
        <xdr:nvSpPr>
          <xdr:cNvPr id="68" name="Passaggio"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81995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ESPERIMENTO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Qual è</a:t>
            </a:r>
            <a:r>
              <a:rPr lang="it" sz="1100" kern="0" baseline="0">
                <a:solidFill>
                  <a:schemeClr val="bg2">
                    <a:lumMod val="25000"/>
                  </a:schemeClr>
                </a:solidFill>
                <a:latin typeface="+mn-lt"/>
                <a:ea typeface="Segoe UI" pitchFamily="34" charset="0"/>
                <a:cs typeface="Segoe UI Light" panose="020B0502040204020203" pitchFamily="34" charset="0"/>
              </a:rPr>
              <a:t> il problema qui? Suggerimento: vogliamo calcolare la </a:t>
            </a:r>
            <a:r>
              <a:rPr lang="it" sz="1100" b="1" kern="0" baseline="0">
                <a:solidFill>
                  <a:schemeClr val="bg2">
                    <a:lumMod val="25000"/>
                  </a:schemeClr>
                </a:solidFill>
                <a:latin typeface="+mn-lt"/>
                <a:ea typeface="Segoe UI" pitchFamily="34" charset="0"/>
                <a:cs typeface="Segoe UI Light" panose="020B0502040204020203" pitchFamily="34" charset="0"/>
              </a:rPr>
              <a:t>SOMMA</a:t>
            </a:r>
            <a:r>
              <a:rPr lang="it" sz="1100" kern="0" baseline="0">
                <a:solidFill>
                  <a:schemeClr val="bg2">
                    <a:lumMod val="25000"/>
                  </a:schemeClr>
                </a:solidFill>
                <a:latin typeface="+mn-lt"/>
                <a:ea typeface="Segoe UI" pitchFamily="34" charset="0"/>
                <a:cs typeface="Segoe UI Light" panose="020B0502040204020203" pitchFamily="34" charset="0"/>
              </a:rPr>
              <a:t> di tutti gli articoli.</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igura a mano libera: forma 68" descr="Linea parentesi quadra">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igura a mano libera: forma 69" descr="Linea parentesi quadra">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Elemento grafico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47624</xdr:colOff>
      <xdr:row>22</xdr:row>
      <xdr:rowOff>61640</xdr:rowOff>
    </xdr:from>
    <xdr:to>
      <xdr:col>5</xdr:col>
      <xdr:colOff>266699</xdr:colOff>
      <xdr:row>27</xdr:row>
      <xdr:rowOff>12</xdr:rowOff>
    </xdr:to>
    <xdr:grpSp>
      <xdr:nvGrpSpPr>
        <xdr:cNvPr id="74" name="INFORMAZIONI UTILI" descr="INFORMAZIONI UTILI&#10;&#10;">
          <a:extLst>
            <a:ext uri="{FF2B5EF4-FFF2-40B4-BE49-F238E27FC236}">
              <a16:creationId xmlns:a16="http://schemas.microsoft.com/office/drawing/2014/main" id="{31BEE91F-7C0C-4732-BB35-0C8B019C6B03}"/>
            </a:ext>
          </a:extLst>
        </xdr:cNvPr>
        <xdr:cNvGrpSpPr/>
      </xdr:nvGrpSpPr>
      <xdr:grpSpPr>
        <a:xfrm>
          <a:off x="6438899" y="4862240"/>
          <a:ext cx="2600325" cy="890872"/>
          <a:chOff x="6778625" y="15619706"/>
          <a:chExt cx="2683059" cy="855693"/>
        </a:xfrm>
      </xdr:grpSpPr>
      <xdr:sp macro="" textlink="">
        <xdr:nvSpPr>
          <xdr:cNvPr id="75" name="Passaggio"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418726"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tx1">
                    <a:lumMod val="75000"/>
                    <a:lumOff val="25000"/>
                  </a:schemeClr>
                </a:solidFill>
                <a:effectLst/>
                <a:latin typeface="+mn-lt"/>
                <a:ea typeface="+mn-ea"/>
                <a:cs typeface="+mn-cs"/>
              </a:rPr>
              <a:t>Fai clic su </a:t>
            </a:r>
            <a:r>
              <a:rPr lang="it" sz="1100" b="1" i="0" kern="1200" baseline="0">
                <a:solidFill>
                  <a:schemeClr val="tx1">
                    <a:lumMod val="75000"/>
                    <a:lumOff val="25000"/>
                  </a:schemeClr>
                </a:solidFill>
                <a:effectLst/>
                <a:latin typeface="+mn-lt"/>
                <a:ea typeface="+mn-ea"/>
                <a:cs typeface="+mn-cs"/>
              </a:rPr>
              <a:t>Opzioni</a:t>
            </a:r>
            <a:r>
              <a:rPr lang="it" sz="1100" b="0" i="0" kern="1200" baseline="0">
                <a:solidFill>
                  <a:schemeClr val="tx1">
                    <a:lumMod val="75000"/>
                    <a:lumOff val="25000"/>
                  </a:schemeClr>
                </a:solidFill>
                <a:effectLst/>
                <a:latin typeface="+mn-lt"/>
                <a:ea typeface="+mn-ea"/>
                <a:cs typeface="+mn-cs"/>
              </a:rPr>
              <a:t> per impostare le regole per i casi in cui gli errori in Excel vengono visualizzati o ignorati.</a:t>
            </a:r>
            <a:endParaRPr lang="en-US" sz="1100">
              <a:solidFill>
                <a:schemeClr val="tx1">
                  <a:lumMod val="75000"/>
                  <a:lumOff val="25000"/>
                </a:schemeClr>
              </a:solidFill>
              <a:effectLst/>
              <a:latin typeface="+mn-lt"/>
            </a:endParaRPr>
          </a:p>
        </xdr:txBody>
      </xdr:sp>
      <xdr:pic>
        <xdr:nvPicPr>
          <xdr:cNvPr id="76" name="Elemento grafico 147" descr="Occhiali">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885825</xdr:colOff>
      <xdr:row>22</xdr:row>
      <xdr:rowOff>95250</xdr:rowOff>
    </xdr:from>
    <xdr:to>
      <xdr:col>1</xdr:col>
      <xdr:colOff>5495927</xdr:colOff>
      <xdr:row>23</xdr:row>
      <xdr:rowOff>19050</xdr:rowOff>
    </xdr:to>
    <xdr:cxnSp macro="">
      <xdr:nvCxnSpPr>
        <xdr:cNvPr id="77" name="Connettore: curvo 76">
          <a:extLst>
            <a:ext uri="{FF2B5EF4-FFF2-40B4-BE49-F238E27FC236}">
              <a16:creationId xmlns:a16="http://schemas.microsoft.com/office/drawing/2014/main" id="{16767E7F-5A94-4A53-A7E2-81A5EF1897C0}"/>
            </a:ext>
          </a:extLst>
        </xdr:cNvPr>
        <xdr:cNvCxnSpPr/>
      </xdr:nvCxnSpPr>
      <xdr:spPr>
        <a:xfrm rot="10800000">
          <a:off x="1752600" y="4895850"/>
          <a:ext cx="4610102" cy="114300"/>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50</xdr:row>
      <xdr:rowOff>47625</xdr:rowOff>
    </xdr:from>
    <xdr:to>
      <xdr:col>1</xdr:col>
      <xdr:colOff>5209413</xdr:colOff>
      <xdr:row>63</xdr:row>
      <xdr:rowOff>171450</xdr:rowOff>
    </xdr:to>
    <xdr:grpSp>
      <xdr:nvGrpSpPr>
        <xdr:cNvPr id="78" name="Gruppo 77">
          <a:extLst>
            <a:ext uri="{FF2B5EF4-FFF2-40B4-BE49-F238E27FC236}">
              <a16:creationId xmlns:a16="http://schemas.microsoft.com/office/drawing/2014/main" id="{340F396F-7EEE-4FE2-8349-58C6AAB22606}"/>
            </a:ext>
          </a:extLst>
        </xdr:cNvPr>
        <xdr:cNvGrpSpPr/>
      </xdr:nvGrpSpPr>
      <xdr:grpSpPr>
        <a:xfrm>
          <a:off x="342900" y="10220325"/>
          <a:ext cx="5733288" cy="2600325"/>
          <a:chOff x="352425" y="10715625"/>
          <a:chExt cx="5733288" cy="2390775"/>
        </a:xfrm>
      </xdr:grpSpPr>
      <xdr:sp macro="" textlink="">
        <xdr:nvSpPr>
          <xdr:cNvPr id="79" name="Rettangolo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Passaggio" descr="Altre informazioni sul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Connettore diritto 80" descr="Linea decorativa">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nettore diritto 81" descr="Linea decorativa">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54</xdr:row>
      <xdr:rowOff>35644</xdr:rowOff>
    </xdr:from>
    <xdr:to>
      <xdr:col>1</xdr:col>
      <xdr:colOff>2552700</xdr:colOff>
      <xdr:row>56</xdr:row>
      <xdr:rowOff>13723</xdr:rowOff>
    </xdr:to>
    <xdr:grpSp>
      <xdr:nvGrpSpPr>
        <xdr:cNvPr id="83" name="Gruppo 82">
          <a:extLst>
            <a:ext uri="{FF2B5EF4-FFF2-40B4-BE49-F238E27FC236}">
              <a16:creationId xmlns:a16="http://schemas.microsoft.com/office/drawing/2014/main" id="{1612118D-530C-41CF-BA41-E6AC52C9311F}"/>
            </a:ext>
          </a:extLst>
        </xdr:cNvPr>
        <xdr:cNvGrpSpPr/>
      </xdr:nvGrpSpPr>
      <xdr:grpSpPr>
        <a:xfrm>
          <a:off x="552881" y="10970344"/>
          <a:ext cx="2866594" cy="359079"/>
          <a:chOff x="552881" y="10532194"/>
          <a:chExt cx="2866594" cy="359079"/>
        </a:xfrm>
      </xdr:grpSpPr>
      <xdr:sp macro="" textlink="">
        <xdr:nvSpPr>
          <xdr:cNvPr id="84" name="Passaggio" descr="Informazioni complete sulla funzione SE, con collegamento ipertestuale al Web&#10;&#10;">
            <a:hlinkClick xmlns:r="http://schemas.openxmlformats.org/officeDocument/2006/relationships" r:id="rId9" tooltip="Seleziona per ottenere informazioni complete dal Web sul rilevamento degli errori nelle formule"/>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Rilevare gli errori nelle formule</a:t>
            </a:r>
          </a:p>
        </xdr:txBody>
      </xdr:sp>
      <xdr:pic>
        <xdr:nvPicPr>
          <xdr:cNvPr id="85"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56</xdr:row>
      <xdr:rowOff>29710</xdr:rowOff>
    </xdr:from>
    <xdr:to>
      <xdr:col>1</xdr:col>
      <xdr:colOff>2581275</xdr:colOff>
      <xdr:row>58</xdr:row>
      <xdr:rowOff>13099</xdr:rowOff>
    </xdr:to>
    <xdr:grpSp>
      <xdr:nvGrpSpPr>
        <xdr:cNvPr id="86" name="Gruppo 85">
          <a:extLst>
            <a:ext uri="{FF2B5EF4-FFF2-40B4-BE49-F238E27FC236}">
              <a16:creationId xmlns:a16="http://schemas.microsoft.com/office/drawing/2014/main" id="{ADC1751D-5736-45B9-8E54-EF18BF377AD1}"/>
            </a:ext>
          </a:extLst>
        </xdr:cNvPr>
        <xdr:cNvGrpSpPr/>
      </xdr:nvGrpSpPr>
      <xdr:grpSpPr>
        <a:xfrm>
          <a:off x="552881" y="11345410"/>
          <a:ext cx="2895169" cy="364389"/>
          <a:chOff x="552881" y="10907260"/>
          <a:chExt cx="2895169" cy="364389"/>
        </a:xfrm>
      </xdr:grpSpPr>
      <xdr:sp macro="" textlink="">
        <xdr:nvSpPr>
          <xdr:cNvPr id="87" name="Passaggio" descr="Informazioni complete sulla funzione PIÙ.SE, con collegamento ipertestuale al Web&#10;">
            <a:hlinkClick xmlns:r="http://schemas.openxmlformats.org/officeDocument/2006/relationships" r:id="rId12" tooltip="Seleziona per ottenere informazioni complete dal Web su come evitare errori nelle formule"/>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Come evitare errori nelle formule</a:t>
            </a:r>
          </a:p>
        </xdr:txBody>
      </xdr:sp>
      <xdr:pic>
        <xdr:nvPicPr>
          <xdr:cNvPr id="88" name="Elemento grafico 22" descr="Freccia">
            <a:hlinkClick xmlns:r="http://schemas.openxmlformats.org/officeDocument/2006/relationships" r:id="rId12" tooltip="Seleziona per ottenere altre informazioni dal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60</xdr:row>
      <xdr:rowOff>60628</xdr:rowOff>
    </xdr:from>
    <xdr:to>
      <xdr:col>1</xdr:col>
      <xdr:colOff>4457700</xdr:colOff>
      <xdr:row>62</xdr:row>
      <xdr:rowOff>44017</xdr:rowOff>
    </xdr:to>
    <xdr:grpSp>
      <xdr:nvGrpSpPr>
        <xdr:cNvPr id="89" name="Gruppo 88">
          <a:extLst>
            <a:ext uri="{FF2B5EF4-FFF2-40B4-BE49-F238E27FC236}">
              <a16:creationId xmlns:a16="http://schemas.microsoft.com/office/drawing/2014/main" id="{7988A760-4FB2-4E7F-B1F1-2324CEF3CF3E}"/>
            </a:ext>
          </a:extLst>
        </xdr:cNvPr>
        <xdr:cNvGrpSpPr/>
      </xdr:nvGrpSpPr>
      <xdr:grpSpPr>
        <a:xfrm>
          <a:off x="552881" y="12138328"/>
          <a:ext cx="4771594" cy="364389"/>
          <a:chOff x="552881" y="11700178"/>
          <a:chExt cx="4771594" cy="364389"/>
        </a:xfrm>
      </xdr:grpSpPr>
      <xdr:sp macro="" textlink="">
        <xdr:nvSpPr>
          <xdr:cNvPr id="90" name="Passaggio" descr="Formazione gratuita su Excel disponibile online, con collegamento ipertestuale al Web&#10;">
            <a:hlinkClick xmlns:r="http://schemas.openxmlformats.org/officeDocument/2006/relationships" r:id="rId13" tooltip="Seleziona per ottenere informazioni sulle risorse di formazione gratuita su Excel sul Web"/>
            <a:extLst>
              <a:ext uri="{FF2B5EF4-FFF2-40B4-BE49-F238E27FC236}">
                <a16:creationId xmlns:a16="http://schemas.microsoft.com/office/drawing/2014/main" id="{83AC531D-CB18-4A4A-92F0-122C8840F418}"/>
              </a:ext>
            </a:extLst>
          </xdr:cNvPr>
          <xdr:cNvSpPr txBox="1"/>
        </xdr:nvSpPr>
        <xdr:spPr>
          <a:xfrm>
            <a:off x="1030674" y="11751282"/>
            <a:ext cx="42938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91" name="Elemento grafico 22" descr="Freccia">
            <a:hlinkClick xmlns:r="http://schemas.openxmlformats.org/officeDocument/2006/relationships" r:id="rId13" tooltip="Seleziona per ottenere altre informazioni dal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58</xdr:row>
      <xdr:rowOff>29086</xdr:rowOff>
    </xdr:from>
    <xdr:to>
      <xdr:col>1</xdr:col>
      <xdr:colOff>4343400</xdr:colOff>
      <xdr:row>60</xdr:row>
      <xdr:rowOff>12475</xdr:rowOff>
    </xdr:to>
    <xdr:grpSp>
      <xdr:nvGrpSpPr>
        <xdr:cNvPr id="92" name="Gruppo 91">
          <a:extLst>
            <a:ext uri="{FF2B5EF4-FFF2-40B4-BE49-F238E27FC236}">
              <a16:creationId xmlns:a16="http://schemas.microsoft.com/office/drawing/2014/main" id="{1287D230-E85C-41F6-AC03-12C8065534DF}"/>
            </a:ext>
          </a:extLst>
        </xdr:cNvPr>
        <xdr:cNvGrpSpPr/>
      </xdr:nvGrpSpPr>
      <xdr:grpSpPr>
        <a:xfrm>
          <a:off x="552881" y="11725786"/>
          <a:ext cx="4657294" cy="364389"/>
          <a:chOff x="552881" y="11287636"/>
          <a:chExt cx="4657294" cy="364389"/>
        </a:xfrm>
      </xdr:grpSpPr>
      <xdr:sp macro="" textlink="">
        <xdr:nvSpPr>
          <xdr:cNvPr id="93" name="Passaggio" descr="Istruzioni SE avanzate, con collegamento ipertestuale al Web&#10;">
            <a:hlinkClick xmlns:r="http://schemas.openxmlformats.org/officeDocument/2006/relationships" r:id="rId14" tooltip="Seleziona per ottenere informazioni complete dal Web sulla valutazione delle formule annidate un passaggio alla volta"/>
            <a:extLst>
              <a:ext uri="{FF2B5EF4-FFF2-40B4-BE49-F238E27FC236}">
                <a16:creationId xmlns:a16="http://schemas.microsoft.com/office/drawing/2014/main" id="{517452E5-5203-44C3-8F73-C9234197799E}"/>
              </a:ext>
            </a:extLst>
          </xdr:cNvPr>
          <xdr:cNvSpPr txBox="1"/>
        </xdr:nvSpPr>
        <xdr:spPr>
          <a:xfrm>
            <a:off x="1018065" y="11355911"/>
            <a:ext cx="419211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Valutare </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una formula annidata un passaggio alla volta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Elemento grafico 22" descr="Freccia">
            <a:hlinkClick xmlns:r="http://schemas.openxmlformats.org/officeDocument/2006/relationships" r:id="rId14" tooltip="Seleziona per ottenere altre informazioni dal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8842201" cy="4430391"/>
    <xdr:grpSp>
      <xdr:nvGrpSpPr>
        <xdr:cNvPr id="32" name="Gruppo 31">
          <a:extLst>
            <a:ext uri="{FF2B5EF4-FFF2-40B4-BE49-F238E27FC236}">
              <a16:creationId xmlns:a16="http://schemas.microsoft.com/office/drawing/2014/main" id="{6725C923-6B3B-4CCA-98A0-990F1C1B87A8}"/>
            </a:ext>
          </a:extLst>
        </xdr:cNvPr>
        <xdr:cNvGrpSpPr/>
      </xdr:nvGrpSpPr>
      <xdr:grpSpPr>
        <a:xfrm>
          <a:off x="333376" y="352425"/>
          <a:ext cx="8842201" cy="4430391"/>
          <a:chOff x="171451" y="285750"/>
          <a:chExt cx="8842201" cy="4430391"/>
        </a:xfrm>
      </xdr:grpSpPr>
      <xdr:grpSp>
        <xdr:nvGrpSpPr>
          <xdr:cNvPr id="13" name="Gruppo 12">
            <a:extLst>
              <a:ext uri="{FF2B5EF4-FFF2-40B4-BE49-F238E27FC236}">
                <a16:creationId xmlns:a16="http://schemas.microsoft.com/office/drawing/2014/main" id="{3FA7D425-D370-44B8-8FA4-045B5D6E310A}"/>
              </a:ext>
            </a:extLst>
          </xdr:cNvPr>
          <xdr:cNvGrpSpPr/>
        </xdr:nvGrpSpPr>
        <xdr:grpSpPr>
          <a:xfrm>
            <a:off x="171451" y="285750"/>
            <a:ext cx="8046720" cy="4430391"/>
            <a:chOff x="171451" y="285750"/>
            <a:chExt cx="8046720" cy="4430391"/>
          </a:xfrm>
        </xdr:grpSpPr>
        <xdr:sp macro="" textlink="">
          <xdr:nvSpPr>
            <xdr:cNvPr id="30" name="Rettangolo 29" descr="Sfondo">
              <a:extLst>
                <a:ext uri="{FF2B5EF4-FFF2-40B4-BE49-F238E27FC236}">
                  <a16:creationId xmlns:a16="http://schemas.microsoft.com/office/drawing/2014/main" id="{7626CA03-671C-4586-BB83-B5B27BDAF61D}"/>
                </a:ext>
              </a:extLst>
            </xdr:cNvPr>
            <xdr:cNvSpPr/>
          </xdr:nvSpPr>
          <xdr:spPr>
            <a:xfrm>
              <a:off x="171451" y="285750"/>
              <a:ext cx="8046720" cy="438912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31" name="Rettangolo 30" descr="Sfondo">
              <a:extLst>
                <a:ext uri="{FF2B5EF4-FFF2-40B4-BE49-F238E27FC236}">
                  <a16:creationId xmlns:a16="http://schemas.microsoft.com/office/drawing/2014/main" id="{0EF2E102-5A65-4310-A323-6E9410B364FE}"/>
                </a:ext>
              </a:extLst>
            </xdr:cNvPr>
            <xdr:cNvSpPr/>
          </xdr:nvSpPr>
          <xdr:spPr>
            <a:xfrm>
              <a:off x="171451" y="1332861"/>
              <a:ext cx="8046720" cy="338328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14" name="Messaggio di benvenuto" descr="Puoi semplificarti in lavoro in moltissimi altri modi:">
            <a:extLst>
              <a:ext uri="{FF2B5EF4-FFF2-40B4-BE49-F238E27FC236}">
                <a16:creationId xmlns:a16="http://schemas.microsoft.com/office/drawing/2014/main" id="{914889AE-4E16-4A8A-A641-A17A3C6BFA28}"/>
              </a:ext>
            </a:extLst>
          </xdr:cNvPr>
          <xdr:cNvSpPr txBox="1"/>
        </xdr:nvSpPr>
        <xdr:spPr>
          <a:xfrm>
            <a:off x="761676" y="1893895"/>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i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Vai avanti. Sono disponibili altre risorse su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Messaggio di benvenuto" descr="Altre domande su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it" sz="2600" b="0" i="0" baseline="0">
                <a:solidFill>
                  <a:schemeClr val="bg1"/>
                </a:solidFill>
                <a:effectLst/>
                <a:latin typeface="Segoe UI Light" pitchFamily="34" charset="0"/>
                <a:ea typeface="Segoe UI" pitchFamily="34" charset="0"/>
                <a:cs typeface="Segoe UI" pitchFamily="34" charset="0"/>
              </a:rPr>
              <a:t>Altre domande su Excel?</a:t>
            </a:r>
            <a:endParaRPr lang="en-US" sz="2600" b="0">
              <a:latin typeface="Segoe UI Light" pitchFamily="34" charset="0"/>
              <a:ea typeface="Segoe UI" pitchFamily="34" charset="0"/>
              <a:cs typeface="Segoe UI" pitchFamily="34" charset="0"/>
            </a:endParaRPr>
          </a:p>
        </xdr:txBody>
      </xdr:sp>
      <xdr:sp macro="" textlink="">
        <xdr:nvSpPr>
          <xdr:cNvPr id="23" name="Casella di testo 22" descr="Altre informazioni">
            <a:hlinkClick xmlns:r="http://schemas.openxmlformats.org/officeDocument/2006/relationships" r:id="rId1" tooltip="Altre informazioni sulla community di Excel sul Web"/>
            <a:extLst>
              <a:ext uri="{FF2B5EF4-FFF2-40B4-BE49-F238E27FC236}">
                <a16:creationId xmlns:a16="http://schemas.microsoft.com/office/drawing/2014/main" id="{0E4F3BD9-1086-4455-B51C-A8936225A3CC}"/>
              </a:ext>
            </a:extLst>
          </xdr:cNvPr>
          <xdr:cNvSpPr txBox="1"/>
        </xdr:nvSpPr>
        <xdr:spPr>
          <a:xfrm>
            <a:off x="1786397" y="3349275"/>
            <a:ext cx="2166477" cy="50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 </a:t>
            </a:r>
          </a:p>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(solo in inglese)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Casella di testo 23" descr="Altre informazioni">
            <a:hlinkClick xmlns:r="http://schemas.openxmlformats.org/officeDocument/2006/relationships" r:id="rId2" tooltip="Altre informazioni sulle novità di Excel sul Web"/>
            <a:extLst>
              <a:ext uri="{FF2B5EF4-FFF2-40B4-BE49-F238E27FC236}">
                <a16:creationId xmlns:a16="http://schemas.microsoft.com/office/drawing/2014/main" id="{C99A8BC1-9314-4FC6-B158-3CC6B224F07E}"/>
              </a:ext>
            </a:extLst>
          </xdr:cNvPr>
          <xdr:cNvSpPr txBox="1"/>
        </xdr:nvSpPr>
        <xdr:spPr>
          <a:xfrm>
            <a:off x="5186116" y="3349275"/>
            <a:ext cx="186238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Casella di testo 24" descr="Community&#10;Ask questions and connect with other Excel fans">
            <a:hlinkClick xmlns:r="http://schemas.openxmlformats.org/officeDocument/2006/relationships" r:id="rId1" tooltip="Altre informazioni sulla community di Excel sul Web"/>
            <a:extLst>
              <a:ext uri="{FF2B5EF4-FFF2-40B4-BE49-F238E27FC236}">
                <a16:creationId xmlns:a16="http://schemas.microsoft.com/office/drawing/2014/main" id="{1293751F-7023-4F3D-A3F2-7A62FD5D2D64}"/>
              </a:ext>
            </a:extLst>
          </xdr:cNvPr>
          <xdr:cNvSpPr txBox="1"/>
        </xdr:nvSpPr>
        <xdr:spPr>
          <a:xfrm>
            <a:off x="1786398" y="2343149"/>
            <a:ext cx="1671177"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Invia domande e mettiti in contatto con altri appassionati di Excel.</a:t>
            </a:r>
          </a:p>
        </xdr:txBody>
      </xdr:sp>
      <xdr:sp macro="" textlink="">
        <xdr:nvSpPr>
          <xdr:cNvPr id="28" name="Casella di testo 27" descr="What else is new?&#10;Office 365 subscribers get continual updates and new features">
            <a:hlinkClick xmlns:r="http://schemas.openxmlformats.org/officeDocument/2006/relationships" r:id="rId2" tooltip="Altre informazioni sulle novità di Excel sul Web"/>
            <a:extLst>
              <a:ext uri="{FF2B5EF4-FFF2-40B4-BE49-F238E27FC236}">
                <a16:creationId xmlns:a16="http://schemas.microsoft.com/office/drawing/2014/main" id="{ECCFA6AB-0C67-4817-85A5-BD3EDB6C982F}"/>
              </a:ext>
            </a:extLst>
          </xdr:cNvPr>
          <xdr:cNvSpPr txBox="1"/>
        </xdr:nvSpPr>
        <xdr:spPr>
          <a:xfrm>
            <a:off x="5172075" y="2343150"/>
            <a:ext cx="2381249"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400" baseline="0">
                <a:solidFill>
                  <a:srgbClr val="217346"/>
                </a:solidFill>
                <a:effectLst/>
                <a:latin typeface="Segoe UI Light" panose="020B0502040204020203" pitchFamily="34" charset="0"/>
                <a:ea typeface="+mn-ea"/>
                <a:cs typeface="Segoe UI Light" panose="020B0502040204020203" pitchFamily="34" charset="0"/>
              </a:rPr>
              <a:t>Altre novità?</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Gli abbonati a Office 365 ricevono costantemente aggiornamenti e nuove funzionalità.</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Immagine 28" descr="Community">
            <a:hlinkClick xmlns:r="http://schemas.openxmlformats.org/officeDocument/2006/relationships" r:id="rId1" tooltip="Altre informazioni dalla community di Excel sul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3"/>
          <a:stretch>
            <a:fillRect/>
          </a:stretch>
        </xdr:blipFill>
        <xdr:spPr>
          <a:xfrm>
            <a:off x="857250" y="2486141"/>
            <a:ext cx="926984" cy="774603"/>
          </a:xfrm>
          <a:prstGeom prst="rect">
            <a:avLst/>
          </a:prstGeom>
        </xdr:spPr>
      </xdr:pic>
    </xdr:grpSp>
    <xdr:clientData/>
  </xdr:oneCellAnchor>
  <xdr:oneCellAnchor>
    <xdr:from>
      <xdr:col>1</xdr:col>
      <xdr:colOff>3745788</xdr:colOff>
      <xdr:row>10</xdr:row>
      <xdr:rowOff>174912</xdr:rowOff>
    </xdr:from>
    <xdr:ext cx="974505" cy="786961"/>
    <xdr:grpSp>
      <xdr:nvGrpSpPr>
        <xdr:cNvPr id="5" name="Gruppo 4" descr="Altre novità?">
          <a:hlinkClick xmlns:r="http://schemas.openxmlformats.org/officeDocument/2006/relationships" r:id="rId2" tooltip="Altre informazioni sulle novità di Excel sul Web"/>
          <a:extLst>
            <a:ext uri="{FF2B5EF4-FFF2-40B4-BE49-F238E27FC236}">
              <a16:creationId xmlns:a16="http://schemas.microsoft.com/office/drawing/2014/main" id="{C26483B0-64DC-4BE9-92D8-7D9943F8404A}"/>
            </a:ext>
          </a:extLst>
        </xdr:cNvPr>
        <xdr:cNvGrpSpPr/>
      </xdr:nvGrpSpPr>
      <xdr:grpSpPr>
        <a:xfrm>
          <a:off x="4336338" y="2651412"/>
          <a:ext cx="974505" cy="786961"/>
          <a:chOff x="6717588" y="3592566"/>
          <a:chExt cx="974505" cy="786961"/>
        </a:xfrm>
      </xdr:grpSpPr>
      <xdr:pic>
        <xdr:nvPicPr>
          <xdr:cNvPr id="6" name="Elemento grafico 5" descr="Giornale">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73201" y="3769928"/>
            <a:ext cx="669283" cy="609599"/>
          </a:xfrm>
          <a:prstGeom prst="rect">
            <a:avLst/>
          </a:prstGeom>
        </xdr:spPr>
      </xdr:pic>
      <xdr:grpSp>
        <xdr:nvGrpSpPr>
          <xdr:cNvPr id="7" name="Gruppo 6" descr="Linee che si irradiano">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Connettore diritto 7" descr="Linea">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ttore diritto 8" descr="Linea">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ttore diritto 9" descr="Linea">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ttore diritto 10" descr="Linea">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ttore diritto 11" descr="Linea">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autoFilter ref="Z2:Z6" xr:uid="{00000000-0009-0000-0100-000001000000}"/>
  <tableColumns count="1">
    <tableColumn id="1" xr3:uid="{00000000-0010-0000-0000-000001000000}" name="Frutta" dataDxfId="12" dataCellStyle="CellaGrigi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autoFilter ref="AB2:AB4" xr:uid="{00000000-0009-0000-0100-000002000000}"/>
  <tableColumns count="1">
    <tableColumn id="1" xr3:uid="{00000000-0010-0000-0100-000001000000}" name="Mele" dataDxfId="9" dataCellStyle="CellaGrigi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autoFilter ref="AD2:AD4" xr:uid="{00000000-0009-0000-0100-000003000000}"/>
  <tableColumns count="1">
    <tableColumn id="1" xr3:uid="{00000000-0010-0000-0200-000001000000}" name="Arance" dataDxfId="6" dataCellStyle="CellaGrigi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autoFilter ref="AH2:AH4" xr:uid="{00000000-0009-0000-0100-000004000000}"/>
  <tableColumns count="1">
    <tableColumn id="1" xr3:uid="{00000000-0010-0000-0300-000001000000}" name="Limoni" dataDxfId="3" dataCellStyle="CellaGrigi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autoFilter ref="AF2:AF4" xr:uid="{00000000-0009-0000-0100-000005000000}"/>
  <tableColumns count="1">
    <tableColumn id="1" xr3:uid="{00000000-0010-0000-0400-000001000000}" name="Banane" dataDxfId="0" dataCellStyle="CellaGrigia"/>
  </tableColumns>
  <tableStyleInfo name="TableStyleMedium2" showFirstColumn="0" showLastColumn="0" showRowStripes="1" showColumnStripes="0"/>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support.office.com/it-IT/article/what-s-new-in-excel-for-office-365-5fdb9208-ff33-45b6-9e08-1f5cdb3a6c73?ui=it-IT&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topLeftCell="A2" workbookViewId="0">
      <selection activeCell="A7" sqref="A7"/>
    </sheetView>
  </sheetViews>
  <sheetFormatPr defaultColWidth="11.140625" defaultRowHeight="20.25" customHeight="1" x14ac:dyDescent="0.25"/>
  <cols>
    <col min="1" max="1" width="148" style="1" bestFit="1" customWidth="1"/>
    <col min="2" max="2" width="3.5703125" style="1" customWidth="1"/>
    <col min="3" max="16384" width="11.140625" style="1"/>
  </cols>
  <sheetData>
    <row r="1" spans="1:1" ht="20.25" customHeight="1" x14ac:dyDescent="1.25">
      <c r="A1" s="61"/>
    </row>
    <row r="2" spans="1:1" ht="102" customHeight="1" x14ac:dyDescent="1.25">
      <c r="A2" s="61" t="s">
        <v>0</v>
      </c>
    </row>
    <row r="3" spans="1:1" ht="67.5" x14ac:dyDescent="0.35">
      <c r="A3" s="2" t="s">
        <v>292</v>
      </c>
    </row>
    <row r="4" spans="1:1" ht="264" customHeight="1" x14ac:dyDescent="0.25">
      <c r="A4" s="3" t="s">
        <v>1</v>
      </c>
    </row>
    <row r="5" spans="1:1" ht="20.25" customHeight="1" x14ac:dyDescent="0.35">
      <c r="A5" s="2"/>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zoomScaleNormal="100" workbookViewId="0"/>
  </sheetViews>
  <sheetFormatPr defaultColWidth="9.140625" defaultRowHeight="15" x14ac:dyDescent="0.25"/>
  <cols>
    <col min="1" max="1" width="12.7109375" style="25" customWidth="1"/>
    <col min="2" max="2" width="82.85546875" style="21" customWidth="1"/>
    <col min="3" max="3" width="16.28515625" style="21" bestFit="1" customWidth="1"/>
    <col min="4" max="4" width="2.28515625" style="21" customWidth="1"/>
    <col min="5" max="5" width="18" style="21" bestFit="1" customWidth="1"/>
    <col min="6" max="6" width="15.7109375" style="21" customWidth="1"/>
    <col min="7" max="7" width="13.28515625" style="21" customWidth="1"/>
    <col min="8" max="10" width="9.140625" style="21"/>
    <col min="11" max="11" width="9.140625" style="21" customWidth="1"/>
    <col min="12" max="16384" width="9.140625" style="21"/>
  </cols>
  <sheetData>
    <row r="1" spans="1:7" ht="60" customHeight="1" x14ac:dyDescent="0.25">
      <c r="A1" s="25" t="s">
        <v>2</v>
      </c>
      <c r="C1" s="65"/>
      <c r="D1" s="66"/>
      <c r="E1" s="66"/>
      <c r="F1" s="66"/>
    </row>
    <row r="2" spans="1:7" ht="15.75" thickBot="1" x14ac:dyDescent="0.3">
      <c r="A2" s="25" t="s">
        <v>3</v>
      </c>
      <c r="C2" s="67" t="s">
        <v>30</v>
      </c>
      <c r="E2" s="7" t="s">
        <v>31</v>
      </c>
      <c r="F2" s="8" t="s">
        <v>37</v>
      </c>
      <c r="G2" s="8" t="s">
        <v>38</v>
      </c>
    </row>
    <row r="3" spans="1:7" ht="16.5" thickTop="1" thickBot="1" x14ac:dyDescent="0.3">
      <c r="A3" s="25" t="s">
        <v>4</v>
      </c>
      <c r="C3" s="83">
        <v>1</v>
      </c>
      <c r="E3" s="96" t="s">
        <v>32</v>
      </c>
      <c r="F3" s="95"/>
      <c r="G3" s="97">
        <f>C3+C4</f>
        <v>3</v>
      </c>
    </row>
    <row r="4" spans="1:7" ht="16.5" thickTop="1" thickBot="1" x14ac:dyDescent="0.3">
      <c r="A4" s="25" t="s">
        <v>5</v>
      </c>
      <c r="C4" s="83">
        <v>2</v>
      </c>
      <c r="E4" s="96" t="s">
        <v>33</v>
      </c>
      <c r="F4" s="95"/>
      <c r="G4" s="97">
        <f>C3-C4</f>
        <v>-1</v>
      </c>
    </row>
    <row r="5" spans="1:7" ht="15.75" thickTop="1" x14ac:dyDescent="0.25">
      <c r="A5" s="25" t="s">
        <v>6</v>
      </c>
      <c r="E5" s="96" t="s">
        <v>34</v>
      </c>
      <c r="F5" s="95"/>
      <c r="G5" s="97">
        <f>C3*C4</f>
        <v>2</v>
      </c>
    </row>
    <row r="6" spans="1:7" ht="15.75" thickBot="1" x14ac:dyDescent="0.3">
      <c r="A6" s="25" t="s">
        <v>7</v>
      </c>
      <c r="E6" s="96" t="s">
        <v>35</v>
      </c>
      <c r="F6" s="95"/>
      <c r="G6" s="97">
        <f>C3/C4</f>
        <v>0.5</v>
      </c>
    </row>
    <row r="7" spans="1:7" ht="15" customHeight="1" thickTop="1" thickBot="1" x14ac:dyDescent="0.3">
      <c r="A7" s="25" t="s">
        <v>8</v>
      </c>
      <c r="E7" s="96" t="s">
        <v>36</v>
      </c>
      <c r="F7" s="98"/>
      <c r="G7" s="97">
        <f>C3^C4</f>
        <v>1</v>
      </c>
    </row>
    <row r="8" spans="1:7" ht="15.75" thickTop="1" x14ac:dyDescent="0.25">
      <c r="A8" s="25" t="s">
        <v>9</v>
      </c>
    </row>
    <row r="9" spans="1:7" x14ac:dyDescent="0.25">
      <c r="A9" s="25" t="s">
        <v>10</v>
      </c>
    </row>
    <row r="10" spans="1:7" x14ac:dyDescent="0.25">
      <c r="A10" s="25" t="s">
        <v>11</v>
      </c>
    </row>
    <row r="11" spans="1:7" x14ac:dyDescent="0.25">
      <c r="A11" s="25" t="s">
        <v>12</v>
      </c>
    </row>
    <row r="12" spans="1:7" x14ac:dyDescent="0.25">
      <c r="A12" s="25" t="s">
        <v>13</v>
      </c>
    </row>
    <row r="13" spans="1:7" ht="15" customHeight="1" x14ac:dyDescent="0.25">
      <c r="A13" s="27" t="s">
        <v>14</v>
      </c>
    </row>
    <row r="14" spans="1:7" x14ac:dyDescent="0.25">
      <c r="A14" s="25" t="s">
        <v>15</v>
      </c>
    </row>
    <row r="15" spans="1:7" x14ac:dyDescent="0.25">
      <c r="A15" s="25" t="s">
        <v>16</v>
      </c>
    </row>
    <row r="16" spans="1:7" x14ac:dyDescent="0.25">
      <c r="A16" s="25" t="s">
        <v>17</v>
      </c>
    </row>
    <row r="17" spans="1:7" x14ac:dyDescent="0.25">
      <c r="A17" s="25" t="s">
        <v>18</v>
      </c>
    </row>
    <row r="18" spans="1:7" x14ac:dyDescent="0.25">
      <c r="A18" s="26" t="s">
        <v>295</v>
      </c>
    </row>
    <row r="19" spans="1:7" x14ac:dyDescent="0.25">
      <c r="A19" s="25" t="s">
        <v>19</v>
      </c>
    </row>
    <row r="20" spans="1:7" x14ac:dyDescent="0.25">
      <c r="A20" s="25" t="s">
        <v>20</v>
      </c>
    </row>
    <row r="21" spans="1:7" ht="15" customHeight="1" x14ac:dyDescent="0.25">
      <c r="A21" s="27" t="s">
        <v>21</v>
      </c>
    </row>
    <row r="22" spans="1:7" x14ac:dyDescent="0.25">
      <c r="A22" s="25" t="s">
        <v>22</v>
      </c>
    </row>
    <row r="23" spans="1:7" x14ac:dyDescent="0.25">
      <c r="A23" s="25" t="s">
        <v>23</v>
      </c>
    </row>
    <row r="24" spans="1:7" x14ac:dyDescent="0.25">
      <c r="A24" s="25" t="s">
        <v>24</v>
      </c>
    </row>
    <row r="25" spans="1:7" ht="33" x14ac:dyDescent="0.25">
      <c r="A25" s="25" t="s">
        <v>25</v>
      </c>
      <c r="C25" s="65"/>
      <c r="D25" s="66"/>
      <c r="E25" s="66"/>
      <c r="F25" s="66"/>
      <c r="G25" s="66"/>
    </row>
    <row r="26" spans="1:7" x14ac:dyDescent="0.25">
      <c r="A26" s="25" t="s">
        <v>26</v>
      </c>
    </row>
    <row r="27" spans="1:7" x14ac:dyDescent="0.25">
      <c r="A27" s="25" t="s">
        <v>27</v>
      </c>
    </row>
    <row r="28" spans="1:7" ht="26.25" x14ac:dyDescent="0.4">
      <c r="A28" s="25" t="s">
        <v>28</v>
      </c>
      <c r="E28" s="58"/>
    </row>
    <row r="29" spans="1:7" x14ac:dyDescent="0.25">
      <c r="A29" s="25" t="s">
        <v>29</v>
      </c>
    </row>
    <row r="40" spans="10:14" x14ac:dyDescent="0.25">
      <c r="J40" s="8" t="s">
        <v>39</v>
      </c>
    </row>
    <row r="41" spans="10:14" x14ac:dyDescent="0.25">
      <c r="J41" s="59">
        <v>4</v>
      </c>
    </row>
    <row r="42" spans="10:14" x14ac:dyDescent="0.25">
      <c r="J42" s="59">
        <v>8</v>
      </c>
    </row>
    <row r="43" spans="10:14" x14ac:dyDescent="0.25">
      <c r="J43" s="57">
        <f>SUM(J41:J42)</f>
        <v>12</v>
      </c>
      <c r="N43"/>
    </row>
    <row r="46" spans="10:14" x14ac:dyDescent="0.25">
      <c r="L46"/>
      <c r="M46"/>
    </row>
    <row r="64" spans="7:7" x14ac:dyDescent="0.25">
      <c r="G64" s="60"/>
    </row>
    <row r="65" spans="7:7" x14ac:dyDescent="0.25">
      <c r="G65" s="60"/>
    </row>
    <row r="66" spans="7:7" x14ac:dyDescent="0.25">
      <c r="G66" s="60"/>
    </row>
    <row r="67" spans="7:7" x14ac:dyDescent="0.25">
      <c r="G67" s="60"/>
    </row>
    <row r="86" ht="17.45" customHeight="1" x14ac:dyDescent="0.25"/>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54"/>
  <sheetViews>
    <sheetView showGridLines="0" zoomScaleNormal="100" zoomScalePageLayoutView="125" workbookViewId="0"/>
  </sheetViews>
  <sheetFormatPr defaultColWidth="8.85546875" defaultRowHeight="15" customHeight="1" x14ac:dyDescent="0.25"/>
  <cols>
    <col min="1" max="1" width="12.7109375" style="9" customWidth="1"/>
    <col min="2" max="2" width="82.85546875" style="71" customWidth="1"/>
    <col min="3" max="4" width="13.28515625" style="71" customWidth="1"/>
    <col min="5" max="5" width="2.28515625" style="71" customWidth="1"/>
    <col min="6" max="6" width="16.85546875" style="71" bestFit="1" customWidth="1"/>
    <col min="7" max="7" width="13.28515625" style="71" customWidth="1"/>
    <col min="8" max="10" width="8.85546875" style="71"/>
    <col min="11" max="11" width="15.42578125" style="71" bestFit="1" customWidth="1"/>
    <col min="12" max="16384" width="8.85546875" style="71"/>
  </cols>
  <sheetData>
    <row r="1" spans="1:13" ht="60" customHeight="1" x14ac:dyDescent="0.5">
      <c r="A1" s="9" t="s">
        <v>40</v>
      </c>
      <c r="B1" s="68"/>
      <c r="C1" s="69"/>
      <c r="D1" s="70"/>
      <c r="E1" s="70"/>
      <c r="F1" s="70"/>
      <c r="G1" s="70"/>
    </row>
    <row r="2" spans="1:13" ht="15" customHeight="1" x14ac:dyDescent="0.25">
      <c r="A2" s="9" t="s">
        <v>41</v>
      </c>
      <c r="C2" s="72" t="s">
        <v>56</v>
      </c>
      <c r="D2" s="73" t="s">
        <v>72</v>
      </c>
      <c r="F2" s="72" t="s">
        <v>74</v>
      </c>
      <c r="G2" s="73" t="s">
        <v>72</v>
      </c>
    </row>
    <row r="3" spans="1:13" ht="15" customHeight="1" x14ac:dyDescent="0.25">
      <c r="A3" s="36" t="s">
        <v>42</v>
      </c>
      <c r="B3" s="74"/>
      <c r="C3" s="100" t="s">
        <v>57</v>
      </c>
      <c r="D3" s="100">
        <v>50</v>
      </c>
      <c r="F3" s="100" t="s">
        <v>75</v>
      </c>
      <c r="G3" s="100">
        <v>50</v>
      </c>
    </row>
    <row r="4" spans="1:13" ht="15" customHeight="1" x14ac:dyDescent="0.25">
      <c r="A4" s="9" t="s">
        <v>43</v>
      </c>
      <c r="C4" s="100" t="s">
        <v>58</v>
      </c>
      <c r="D4" s="100">
        <v>20</v>
      </c>
      <c r="E4" s="75"/>
      <c r="F4" s="100" t="s">
        <v>76</v>
      </c>
      <c r="G4" s="100">
        <v>30</v>
      </c>
    </row>
    <row r="5" spans="1:13" s="75" customFormat="1" ht="15" customHeight="1" x14ac:dyDescent="0.25">
      <c r="A5" s="9" t="s">
        <v>44</v>
      </c>
      <c r="C5" s="100" t="s">
        <v>59</v>
      </c>
      <c r="D5" s="100">
        <v>60</v>
      </c>
      <c r="F5" s="100" t="s">
        <v>77</v>
      </c>
      <c r="G5" s="100">
        <v>10</v>
      </c>
    </row>
    <row r="6" spans="1:13" s="75" customFormat="1" ht="15" customHeight="1" x14ac:dyDescent="0.25">
      <c r="A6" s="9" t="s">
        <v>10</v>
      </c>
      <c r="B6" s="76"/>
      <c r="C6" s="100" t="s">
        <v>60</v>
      </c>
      <c r="D6" s="101">
        <v>40</v>
      </c>
      <c r="F6" s="100" t="s">
        <v>78</v>
      </c>
      <c r="G6" s="101">
        <v>50</v>
      </c>
    </row>
    <row r="7" spans="1:13" s="75" customFormat="1" ht="15" customHeight="1" x14ac:dyDescent="0.25">
      <c r="A7" s="9" t="s">
        <v>45</v>
      </c>
      <c r="C7" s="111" t="s">
        <v>61</v>
      </c>
      <c r="D7" s="102">
        <f>SUM(D3:D6)</f>
        <v>170</v>
      </c>
      <c r="F7" s="111" t="s">
        <v>61</v>
      </c>
      <c r="G7" s="102"/>
      <c r="M7" s="77"/>
    </row>
    <row r="8" spans="1:13" s="75" customFormat="1" ht="15" customHeight="1" x14ac:dyDescent="0.25">
      <c r="A8" s="9" t="s">
        <v>11</v>
      </c>
      <c r="M8" s="77"/>
    </row>
    <row r="9" spans="1:13" s="75" customFormat="1" ht="15" customHeight="1" x14ac:dyDescent="0.25">
      <c r="A9" s="9" t="s">
        <v>46</v>
      </c>
      <c r="C9" s="72" t="s">
        <v>62</v>
      </c>
      <c r="D9" s="73" t="s">
        <v>72</v>
      </c>
      <c r="F9" s="72" t="s">
        <v>62</v>
      </c>
      <c r="G9" s="73" t="s">
        <v>72</v>
      </c>
      <c r="M9" s="77"/>
    </row>
    <row r="10" spans="1:13" s="75" customFormat="1" ht="15" customHeight="1" x14ac:dyDescent="0.25">
      <c r="A10" s="114" t="s">
        <v>47</v>
      </c>
      <c r="C10" s="100" t="s">
        <v>63</v>
      </c>
      <c r="D10" s="100">
        <v>50</v>
      </c>
      <c r="F10" s="100" t="s">
        <v>63</v>
      </c>
      <c r="G10" s="100">
        <v>50</v>
      </c>
      <c r="M10" s="77"/>
    </row>
    <row r="11" spans="1:13" s="75" customFormat="1" ht="15" customHeight="1" x14ac:dyDescent="0.25">
      <c r="A11" s="36" t="s">
        <v>48</v>
      </c>
      <c r="C11" s="100" t="s">
        <v>64</v>
      </c>
      <c r="D11" s="100">
        <v>100</v>
      </c>
      <c r="F11" s="100" t="s">
        <v>64</v>
      </c>
      <c r="G11" s="100">
        <v>100</v>
      </c>
      <c r="M11" s="77"/>
    </row>
    <row r="12" spans="1:13" s="75" customFormat="1" ht="15" customHeight="1" x14ac:dyDescent="0.25">
      <c r="A12" s="9" t="s">
        <v>49</v>
      </c>
      <c r="C12" s="100" t="s">
        <v>65</v>
      </c>
      <c r="D12" s="100">
        <v>40</v>
      </c>
      <c r="F12" s="100" t="s">
        <v>65</v>
      </c>
      <c r="G12" s="100">
        <v>40</v>
      </c>
      <c r="M12" s="77"/>
    </row>
    <row r="13" spans="1:13" s="75" customFormat="1" ht="15" customHeight="1" x14ac:dyDescent="0.25">
      <c r="A13" s="9" t="s">
        <v>50</v>
      </c>
      <c r="C13" s="100" t="s">
        <v>66</v>
      </c>
      <c r="D13" s="100">
        <v>50</v>
      </c>
      <c r="F13" s="100" t="s">
        <v>66</v>
      </c>
      <c r="G13" s="100">
        <v>50</v>
      </c>
      <c r="M13" s="77"/>
    </row>
    <row r="14" spans="1:13" s="75" customFormat="1" ht="15" customHeight="1" thickBot="1" x14ac:dyDescent="0.3">
      <c r="A14" s="113" t="s">
        <v>51</v>
      </c>
      <c r="C14" s="100" t="s">
        <v>67</v>
      </c>
      <c r="D14" s="100">
        <v>20</v>
      </c>
      <c r="F14" s="100" t="s">
        <v>67</v>
      </c>
      <c r="G14" s="100">
        <v>20</v>
      </c>
      <c r="M14" s="77"/>
    </row>
    <row r="15" spans="1:13" s="75" customFormat="1" ht="15" customHeight="1" thickTop="1" thickBot="1" x14ac:dyDescent="0.3">
      <c r="A15" s="9" t="s">
        <v>24</v>
      </c>
      <c r="C15" s="111" t="s">
        <v>61</v>
      </c>
      <c r="D15" s="99"/>
      <c r="F15" s="111" t="s">
        <v>293</v>
      </c>
      <c r="G15" s="78"/>
      <c r="M15" s="77"/>
    </row>
    <row r="16" spans="1:13" s="75" customFormat="1" ht="15" customHeight="1" thickTop="1" x14ac:dyDescent="0.25">
      <c r="A16" s="9" t="s">
        <v>52</v>
      </c>
      <c r="M16" s="77"/>
    </row>
    <row r="17" spans="1:13" s="75" customFormat="1" ht="15" customHeight="1" x14ac:dyDescent="0.25">
      <c r="A17" s="9" t="s">
        <v>53</v>
      </c>
      <c r="M17" s="77"/>
    </row>
    <row r="18" spans="1:13" s="75" customFormat="1" ht="15" customHeight="1" x14ac:dyDescent="0.25">
      <c r="A18" s="9" t="s">
        <v>54</v>
      </c>
      <c r="M18" s="77"/>
    </row>
    <row r="19" spans="1:13" s="75" customFormat="1" ht="15" customHeight="1" x14ac:dyDescent="0.25">
      <c r="A19" s="9" t="s">
        <v>29</v>
      </c>
      <c r="C19" s="77"/>
      <c r="M19" s="77"/>
    </row>
    <row r="20" spans="1:13" s="75" customFormat="1" ht="15" customHeight="1" x14ac:dyDescent="0.25">
      <c r="A20" s="9" t="s">
        <v>55</v>
      </c>
      <c r="M20" s="77"/>
    </row>
    <row r="21" spans="1:13" s="75" customFormat="1" ht="15" customHeight="1" x14ac:dyDescent="0.25">
      <c r="A21" s="9" t="s">
        <v>11</v>
      </c>
      <c r="M21" s="77"/>
    </row>
    <row r="22" spans="1:13" s="75" customFormat="1" ht="15" customHeight="1" x14ac:dyDescent="0.25">
      <c r="A22" s="9"/>
      <c r="M22" s="77"/>
    </row>
    <row r="23" spans="1:13" s="75" customFormat="1" ht="15" customHeight="1" x14ac:dyDescent="0.25">
      <c r="A23" s="9"/>
    </row>
    <row r="26" spans="1:13" ht="15" customHeight="1" x14ac:dyDescent="0.25">
      <c r="H26" s="77"/>
    </row>
    <row r="34" spans="3:7" ht="15" customHeight="1" x14ac:dyDescent="0.25">
      <c r="C34" s="72" t="s">
        <v>56</v>
      </c>
      <c r="D34" s="73" t="s">
        <v>72</v>
      </c>
    </row>
    <row r="35" spans="3:7" ht="15" customHeight="1" x14ac:dyDescent="0.25">
      <c r="C35" s="100" t="s">
        <v>57</v>
      </c>
      <c r="D35" s="100">
        <v>50</v>
      </c>
      <c r="E35" s="75"/>
    </row>
    <row r="36" spans="3:7" ht="15" customHeight="1" x14ac:dyDescent="0.25">
      <c r="C36" s="100" t="s">
        <v>58</v>
      </c>
      <c r="D36" s="100">
        <v>20</v>
      </c>
      <c r="E36" s="75"/>
    </row>
    <row r="37" spans="3:7" ht="15" customHeight="1" x14ac:dyDescent="0.25">
      <c r="C37" s="100" t="s">
        <v>59</v>
      </c>
      <c r="D37" s="100">
        <v>60</v>
      </c>
      <c r="E37" s="75"/>
    </row>
    <row r="38" spans="3:7" ht="15" customHeight="1" x14ac:dyDescent="0.25">
      <c r="C38" s="100" t="s">
        <v>60</v>
      </c>
      <c r="D38" s="100">
        <v>40</v>
      </c>
      <c r="E38" s="75"/>
    </row>
    <row r="39" spans="3:7" ht="15" customHeight="1" x14ac:dyDescent="0.25">
      <c r="C39" s="111" t="s">
        <v>61</v>
      </c>
      <c r="D39" s="99">
        <f>SUM(D35:D38)</f>
        <v>170</v>
      </c>
      <c r="E39" s="75"/>
      <c r="F39" s="75"/>
      <c r="G39" s="75"/>
    </row>
    <row r="44" spans="3:7" ht="15" customHeight="1" x14ac:dyDescent="0.25">
      <c r="C44" s="72" t="s">
        <v>62</v>
      </c>
      <c r="D44" s="73" t="s">
        <v>72</v>
      </c>
      <c r="E44" s="75"/>
    </row>
    <row r="45" spans="3:7" ht="15" customHeight="1" x14ac:dyDescent="0.25">
      <c r="C45" s="100" t="s">
        <v>68</v>
      </c>
      <c r="D45" s="100">
        <v>20</v>
      </c>
      <c r="E45" s="75"/>
    </row>
    <row r="46" spans="3:7" ht="15" customHeight="1" x14ac:dyDescent="0.25">
      <c r="C46" s="100" t="s">
        <v>69</v>
      </c>
      <c r="D46" s="100">
        <v>10</v>
      </c>
      <c r="E46" s="75"/>
    </row>
    <row r="47" spans="3:7" ht="15" customHeight="1" x14ac:dyDescent="0.25">
      <c r="C47" s="100" t="s">
        <v>70</v>
      </c>
      <c r="D47" s="100">
        <v>10</v>
      </c>
      <c r="E47" s="75"/>
    </row>
    <row r="48" spans="3:7" ht="15" customHeight="1" x14ac:dyDescent="0.25">
      <c r="C48" s="100" t="s">
        <v>71</v>
      </c>
      <c r="D48" s="100">
        <v>40</v>
      </c>
      <c r="E48" s="75"/>
    </row>
    <row r="50" spans="4:11" ht="15" customHeight="1" x14ac:dyDescent="0.25">
      <c r="D50" s="73" t="s">
        <v>73</v>
      </c>
      <c r="F50" s="73" t="s">
        <v>79</v>
      </c>
      <c r="G50" s="73" t="s">
        <v>80</v>
      </c>
    </row>
    <row r="51" spans="4:11" ht="15" customHeight="1" x14ac:dyDescent="0.25">
      <c r="D51" s="79">
        <f>SUM(D45:D48,100)</f>
        <v>180</v>
      </c>
      <c r="F51" s="112">
        <v>100</v>
      </c>
      <c r="G51" s="112">
        <f>SUM(D45:D48,F51)</f>
        <v>180</v>
      </c>
    </row>
    <row r="54" spans="4:11" ht="15" customHeight="1" x14ac:dyDescent="0.25">
      <c r="K54" s="118"/>
    </row>
  </sheetData>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heetViews>
  <sheetFormatPr defaultColWidth="8.85546875" defaultRowHeight="15" x14ac:dyDescent="0.25"/>
  <cols>
    <col min="1" max="1" width="12.7109375" style="25" customWidth="1"/>
    <col min="2" max="2" width="82.85546875"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25" t="s">
        <v>81</v>
      </c>
      <c r="B1" s="37"/>
      <c r="C1" s="69"/>
      <c r="D1" s="80"/>
      <c r="E1" s="80"/>
      <c r="F1" s="80"/>
      <c r="G1" s="80"/>
      <c r="H1" s="37"/>
      <c r="I1" s="37"/>
      <c r="J1" s="37"/>
    </row>
    <row r="2" spans="1:10" ht="15" customHeight="1" x14ac:dyDescent="0.25">
      <c r="A2" s="25" t="s">
        <v>82</v>
      </c>
      <c r="B2" s="37"/>
      <c r="C2" s="7" t="s">
        <v>56</v>
      </c>
      <c r="D2" s="8" t="s">
        <v>72</v>
      </c>
      <c r="E2" s="39"/>
      <c r="F2" s="11" t="s">
        <v>74</v>
      </c>
      <c r="G2" s="8" t="s">
        <v>72</v>
      </c>
      <c r="H2" s="37"/>
      <c r="I2" s="37"/>
      <c r="J2" s="5"/>
    </row>
    <row r="3" spans="1:10" ht="15" customHeight="1" x14ac:dyDescent="0.25">
      <c r="A3" s="25" t="s">
        <v>83</v>
      </c>
      <c r="B3" s="37"/>
      <c r="C3" s="106" t="s">
        <v>57</v>
      </c>
      <c r="D3" s="105">
        <v>50</v>
      </c>
      <c r="E3" s="39"/>
      <c r="F3" s="106" t="s">
        <v>75</v>
      </c>
      <c r="G3" s="105">
        <v>50</v>
      </c>
      <c r="H3" s="37"/>
      <c r="I3" s="37"/>
      <c r="J3" s="5"/>
    </row>
    <row r="4" spans="1:10" ht="15" customHeight="1" x14ac:dyDescent="0.25">
      <c r="A4" s="25" t="s">
        <v>84</v>
      </c>
      <c r="B4" s="37"/>
      <c r="C4" s="106" t="s">
        <v>58</v>
      </c>
      <c r="D4" s="105">
        <v>20</v>
      </c>
      <c r="E4" s="39"/>
      <c r="F4" s="106" t="s">
        <v>76</v>
      </c>
      <c r="G4" s="105">
        <v>30</v>
      </c>
      <c r="H4" s="37"/>
      <c r="I4" s="37"/>
      <c r="J4" s="5"/>
    </row>
    <row r="5" spans="1:10" s="4" customFormat="1" ht="15" customHeight="1" x14ac:dyDescent="0.25">
      <c r="A5" s="25" t="s">
        <v>85</v>
      </c>
      <c r="B5" s="38"/>
      <c r="C5" s="106" t="s">
        <v>59</v>
      </c>
      <c r="D5" s="105">
        <v>60</v>
      </c>
      <c r="E5" s="39"/>
      <c r="F5" s="106" t="s">
        <v>77</v>
      </c>
      <c r="G5" s="105">
        <v>10</v>
      </c>
      <c r="H5" s="38"/>
      <c r="I5" s="38"/>
      <c r="J5" s="5"/>
    </row>
    <row r="6" spans="1:10" s="4" customFormat="1" ht="15" customHeight="1" x14ac:dyDescent="0.25">
      <c r="A6" s="25" t="s">
        <v>86</v>
      </c>
      <c r="B6" s="38"/>
      <c r="C6" s="106" t="s">
        <v>60</v>
      </c>
      <c r="D6" s="105">
        <v>40</v>
      </c>
      <c r="E6" s="39"/>
      <c r="F6" s="106" t="s">
        <v>78</v>
      </c>
      <c r="G6" s="105">
        <v>50</v>
      </c>
      <c r="H6" s="38"/>
      <c r="I6" s="38"/>
      <c r="J6" s="5"/>
    </row>
    <row r="7" spans="1:10" s="4" customFormat="1" ht="15" customHeight="1" x14ac:dyDescent="0.25">
      <c r="A7" s="25" t="s">
        <v>87</v>
      </c>
      <c r="B7" s="38"/>
      <c r="C7" s="10" t="s">
        <v>95</v>
      </c>
      <c r="D7" s="103"/>
      <c r="E7" s="39"/>
      <c r="F7" s="10" t="s">
        <v>95</v>
      </c>
      <c r="G7" s="103"/>
      <c r="H7" s="38"/>
      <c r="I7" s="38"/>
      <c r="J7" s="5"/>
    </row>
    <row r="8" spans="1:10" s="4" customFormat="1" ht="15" customHeight="1" x14ac:dyDescent="0.25">
      <c r="A8" s="25" t="s">
        <v>88</v>
      </c>
      <c r="B8" s="38"/>
      <c r="C8" s="38"/>
      <c r="D8" s="39"/>
      <c r="E8" s="39"/>
      <c r="F8" s="38"/>
      <c r="G8" s="39"/>
      <c r="H8" s="38"/>
      <c r="I8" s="38"/>
      <c r="J8" s="5"/>
    </row>
    <row r="9" spans="1:10" s="4" customFormat="1" ht="15" customHeight="1" x14ac:dyDescent="0.25">
      <c r="A9" s="25" t="s">
        <v>89</v>
      </c>
      <c r="B9" s="38"/>
      <c r="C9" s="7" t="s">
        <v>62</v>
      </c>
      <c r="D9" s="8" t="s">
        <v>72</v>
      </c>
      <c r="E9" s="39"/>
      <c r="F9" s="11" t="s">
        <v>62</v>
      </c>
      <c r="G9" s="8" t="s">
        <v>72</v>
      </c>
      <c r="H9" s="38"/>
      <c r="I9" s="38"/>
      <c r="J9" s="5"/>
    </row>
    <row r="10" spans="1:10" s="4" customFormat="1" ht="15" customHeight="1" x14ac:dyDescent="0.25">
      <c r="A10" s="25" t="s">
        <v>90</v>
      </c>
      <c r="B10" s="38"/>
      <c r="C10" s="106" t="s">
        <v>63</v>
      </c>
      <c r="D10" s="105">
        <v>50</v>
      </c>
      <c r="E10" s="39"/>
      <c r="F10" s="106" t="s">
        <v>63</v>
      </c>
      <c r="G10" s="105">
        <v>50</v>
      </c>
      <c r="H10" s="38"/>
      <c r="I10" s="38"/>
      <c r="J10" s="5"/>
    </row>
    <row r="11" spans="1:10" s="4" customFormat="1" ht="15" customHeight="1" x14ac:dyDescent="0.25">
      <c r="A11" s="25" t="s">
        <v>91</v>
      </c>
      <c r="B11" s="38"/>
      <c r="C11" s="106" t="s">
        <v>64</v>
      </c>
      <c r="D11" s="105">
        <v>100</v>
      </c>
      <c r="E11" s="39"/>
      <c r="F11" s="106" t="s">
        <v>64</v>
      </c>
      <c r="G11" s="105">
        <v>100</v>
      </c>
      <c r="H11" s="38"/>
      <c r="I11" s="38"/>
      <c r="J11" s="5"/>
    </row>
    <row r="12" spans="1:10" s="4" customFormat="1" ht="15" customHeight="1" x14ac:dyDescent="0.25">
      <c r="A12" s="25" t="s">
        <v>92</v>
      </c>
      <c r="B12" s="38"/>
      <c r="C12" s="106" t="s">
        <v>65</v>
      </c>
      <c r="D12" s="105">
        <v>40</v>
      </c>
      <c r="E12" s="39"/>
      <c r="F12" s="106" t="s">
        <v>65</v>
      </c>
      <c r="G12" s="105">
        <v>40</v>
      </c>
      <c r="H12" s="38"/>
      <c r="I12" s="38"/>
      <c r="J12" s="5"/>
    </row>
    <row r="13" spans="1:10" s="4" customFormat="1" ht="15" customHeight="1" x14ac:dyDescent="0.25">
      <c r="A13" s="25" t="s">
        <v>93</v>
      </c>
      <c r="B13" s="38"/>
      <c r="C13" s="106" t="s">
        <v>66</v>
      </c>
      <c r="D13" s="105">
        <v>50</v>
      </c>
      <c r="E13" s="39"/>
      <c r="F13" s="106" t="s">
        <v>66</v>
      </c>
      <c r="G13" s="105">
        <v>50</v>
      </c>
      <c r="H13" s="38"/>
      <c r="I13" s="38"/>
      <c r="J13" s="5"/>
    </row>
    <row r="14" spans="1:10" s="4" customFormat="1" ht="15" customHeight="1" thickBot="1" x14ac:dyDescent="0.3">
      <c r="A14" s="25" t="s">
        <v>94</v>
      </c>
      <c r="B14" s="38"/>
      <c r="C14" s="106" t="s">
        <v>67</v>
      </c>
      <c r="D14" s="105">
        <v>20</v>
      </c>
      <c r="E14" s="39"/>
      <c r="F14" s="106" t="s">
        <v>67</v>
      </c>
      <c r="G14" s="105">
        <v>20</v>
      </c>
      <c r="H14" s="38"/>
      <c r="I14" s="38"/>
      <c r="J14" s="38"/>
    </row>
    <row r="15" spans="1:10" s="4" customFormat="1" ht="15" customHeight="1" thickTop="1" thickBot="1" x14ac:dyDescent="0.3">
      <c r="A15" s="25"/>
      <c r="B15" s="38"/>
      <c r="C15" s="10" t="s">
        <v>95</v>
      </c>
      <c r="D15" s="103"/>
      <c r="E15" s="39"/>
      <c r="F15" s="38"/>
      <c r="G15" s="83"/>
      <c r="H15" s="38"/>
      <c r="I15" s="38"/>
      <c r="J15" s="38"/>
    </row>
    <row r="16" spans="1:10" s="4" customFormat="1" ht="15" customHeight="1" thickTop="1" x14ac:dyDescent="0.25">
      <c r="A16" s="25"/>
      <c r="B16" s="38"/>
      <c r="C16" s="38"/>
      <c r="D16" s="38"/>
      <c r="E16" s="38"/>
      <c r="F16" s="38"/>
      <c r="G16" s="38"/>
      <c r="H16" s="38"/>
      <c r="I16" s="38"/>
      <c r="J16" s="38"/>
    </row>
    <row r="17" spans="1:3" s="4" customFormat="1" ht="15" customHeight="1" x14ac:dyDescent="0.25">
      <c r="A17" s="25"/>
      <c r="B17" s="38"/>
      <c r="C17" s="9"/>
    </row>
    <row r="18" spans="1:3" s="4" customFormat="1" ht="15" customHeight="1" x14ac:dyDescent="0.25">
      <c r="A18" s="25"/>
      <c r="B18" s="38"/>
      <c r="C18" s="9"/>
    </row>
    <row r="19" spans="1:3" s="4" customFormat="1" ht="15" customHeight="1" x14ac:dyDescent="0.25">
      <c r="A19" s="25"/>
      <c r="B19" s="38"/>
      <c r="C19" s="9"/>
    </row>
    <row r="20" spans="1:3" s="4" customFormat="1" ht="15" customHeight="1" x14ac:dyDescent="0.25">
      <c r="A20" s="25"/>
      <c r="B20" s="38"/>
      <c r="C20" s="9"/>
    </row>
    <row r="21" spans="1:3" s="4" customFormat="1" ht="15" customHeight="1" x14ac:dyDescent="0.25">
      <c r="A21" s="25"/>
      <c r="B21" s="38"/>
      <c r="C21" s="9"/>
    </row>
    <row r="22" spans="1:3" s="4" customFormat="1" ht="15" customHeight="1" x14ac:dyDescent="0.25">
      <c r="A22" s="25"/>
      <c r="B22" s="38"/>
      <c r="C22" s="9"/>
    </row>
    <row r="23" spans="1:3" s="4" customFormat="1" ht="15" customHeight="1" x14ac:dyDescent="0.25">
      <c r="A23" s="25"/>
      <c r="B23" s="38"/>
      <c r="C23" s="9"/>
    </row>
    <row r="24" spans="1:3" s="4" customFormat="1" ht="15" customHeight="1" x14ac:dyDescent="0.25">
      <c r="A24" s="25"/>
      <c r="B24" s="38"/>
      <c r="C24" s="9"/>
    </row>
    <row r="25" spans="1:3" s="4" customFormat="1" ht="15" customHeight="1" x14ac:dyDescent="0.25">
      <c r="A25" s="25"/>
      <c r="B25" s="38"/>
      <c r="C25" s="9"/>
    </row>
    <row r="26" spans="1:3" s="4" customFormat="1" ht="15" customHeight="1" x14ac:dyDescent="0.25">
      <c r="A26" s="25"/>
      <c r="B26" s="38"/>
      <c r="C26" s="9"/>
    </row>
    <row r="27" spans="1:3" x14ac:dyDescent="0.25">
      <c r="B27" s="37"/>
    </row>
    <row r="28" spans="1:3" x14ac:dyDescent="0.25">
      <c r="B28" s="37"/>
    </row>
    <row r="29" spans="1:3" ht="15" customHeight="1" x14ac:dyDescent="0.25">
      <c r="B29" s="37"/>
    </row>
    <row r="30" spans="1:3" ht="15" customHeight="1" x14ac:dyDescent="0.25">
      <c r="B30" s="37"/>
    </row>
    <row r="31" spans="1:3" ht="15" customHeight="1" x14ac:dyDescent="0.25">
      <c r="B31" s="37"/>
    </row>
    <row r="32" spans="1:3" ht="15" customHeight="1" x14ac:dyDescent="0.25">
      <c r="B32" s="37"/>
    </row>
    <row r="33" spans="2:9" ht="15" customHeight="1" x14ac:dyDescent="0.25">
      <c r="B33" s="37"/>
      <c r="D33" s="37"/>
      <c r="E33" s="37"/>
      <c r="F33" s="38"/>
      <c r="G33" s="37"/>
      <c r="H33" s="37"/>
      <c r="I33" s="37"/>
    </row>
    <row r="34" spans="2:9" ht="15" customHeight="1" x14ac:dyDescent="0.25">
      <c r="B34" s="37"/>
      <c r="D34" s="37"/>
      <c r="E34" s="37"/>
      <c r="F34" s="38"/>
      <c r="G34" s="37"/>
      <c r="H34" s="37"/>
      <c r="I34" s="37"/>
    </row>
    <row r="35" spans="2:9" ht="15" customHeight="1" x14ac:dyDescent="0.25">
      <c r="B35" s="37"/>
      <c r="D35" s="37"/>
      <c r="E35" s="37"/>
      <c r="F35" s="38"/>
      <c r="G35" s="37"/>
      <c r="H35" s="37"/>
      <c r="I35" s="37"/>
    </row>
    <row r="36" spans="2:9" x14ac:dyDescent="0.25">
      <c r="B36" s="37"/>
      <c r="D36" s="37"/>
      <c r="E36" s="37"/>
      <c r="F36" s="38"/>
      <c r="G36" s="37"/>
      <c r="H36" s="37"/>
      <c r="I36" s="37"/>
    </row>
    <row r="41" spans="2:9" ht="15" customHeight="1" x14ac:dyDescent="0.25">
      <c r="B41" s="37"/>
      <c r="D41" s="37"/>
      <c r="E41" s="37"/>
      <c r="F41" s="38"/>
      <c r="G41" s="37"/>
      <c r="H41" s="37"/>
      <c r="I41" s="37"/>
    </row>
    <row r="42" spans="2:9" ht="15" customHeight="1" x14ac:dyDescent="0.25">
      <c r="B42" s="37"/>
      <c r="D42" s="37"/>
      <c r="E42" s="37"/>
      <c r="F42" s="38"/>
      <c r="G42" s="37"/>
      <c r="H42" s="37"/>
      <c r="I42" s="37"/>
    </row>
    <row r="43" spans="2:9" ht="15" customHeight="1" x14ac:dyDescent="0.25">
      <c r="B43" s="37"/>
      <c r="D43" s="37"/>
      <c r="E43" s="37"/>
      <c r="F43" s="38"/>
      <c r="G43" s="37"/>
      <c r="H43" s="37"/>
      <c r="I43" s="37"/>
    </row>
    <row r="44" spans="2:9" ht="15" customHeight="1" x14ac:dyDescent="0.25">
      <c r="B44" s="37"/>
      <c r="D44" s="37"/>
      <c r="E44" s="37"/>
      <c r="F44" s="38"/>
      <c r="G44" s="37"/>
      <c r="H44" s="37"/>
      <c r="I44" s="37"/>
    </row>
    <row r="45" spans="2:9" ht="15" customHeight="1" x14ac:dyDescent="0.25">
      <c r="B45" s="37"/>
      <c r="D45" s="37"/>
      <c r="E45" s="37"/>
      <c r="F45" s="38"/>
      <c r="G45" s="37"/>
      <c r="H45" s="37"/>
      <c r="I45" s="37"/>
    </row>
    <row r="46" spans="2:9" ht="15" customHeight="1" x14ac:dyDescent="0.25">
      <c r="B46" s="37"/>
      <c r="D46" s="37"/>
      <c r="E46" s="37"/>
      <c r="F46" s="38"/>
      <c r="G46" s="37"/>
      <c r="H46" s="37"/>
      <c r="I46" s="37"/>
    </row>
  </sheetData>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heetViews>
  <sheetFormatPr defaultColWidth="8.85546875" defaultRowHeight="15" x14ac:dyDescent="0.25"/>
  <cols>
    <col min="1" max="1" width="12.7109375" style="16"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8" ht="60" customHeight="1" x14ac:dyDescent="0.25">
      <c r="A1" s="16" t="s">
        <v>98</v>
      </c>
      <c r="B1" s="37"/>
      <c r="C1" s="69"/>
      <c r="D1" s="80"/>
      <c r="E1" s="80"/>
      <c r="F1" s="80"/>
      <c r="G1" s="80"/>
      <c r="H1" s="37"/>
    </row>
    <row r="2" spans="1:8" ht="15" customHeight="1" x14ac:dyDescent="0.25">
      <c r="A2" s="14" t="s">
        <v>99</v>
      </c>
      <c r="B2" s="37"/>
      <c r="C2" s="7" t="s">
        <v>56</v>
      </c>
      <c r="D2" s="8" t="s">
        <v>72</v>
      </c>
      <c r="E2" s="39"/>
      <c r="F2" s="11" t="s">
        <v>74</v>
      </c>
      <c r="G2" s="8" t="s">
        <v>72</v>
      </c>
      <c r="H2" s="5"/>
    </row>
    <row r="3" spans="1:8" ht="15" customHeight="1" x14ac:dyDescent="0.25">
      <c r="A3" s="14" t="s">
        <v>100</v>
      </c>
      <c r="B3" s="37"/>
      <c r="C3" s="104" t="s">
        <v>57</v>
      </c>
      <c r="D3" s="105">
        <v>50</v>
      </c>
      <c r="E3" s="39"/>
      <c r="F3" s="106" t="s">
        <v>75</v>
      </c>
      <c r="G3" s="105">
        <v>50</v>
      </c>
      <c r="H3" s="5"/>
    </row>
    <row r="4" spans="1:8" ht="15" customHeight="1" x14ac:dyDescent="0.25">
      <c r="A4" s="88" t="s">
        <v>101</v>
      </c>
      <c r="B4" s="37"/>
      <c r="C4" s="104" t="s">
        <v>58</v>
      </c>
      <c r="D4" s="105">
        <v>20</v>
      </c>
      <c r="E4" s="39"/>
      <c r="F4" s="106" t="s">
        <v>76</v>
      </c>
      <c r="G4" s="105">
        <v>30</v>
      </c>
      <c r="H4" s="5"/>
    </row>
    <row r="5" spans="1:8" s="4" customFormat="1" ht="15" customHeight="1" x14ac:dyDescent="0.25">
      <c r="A5" s="88" t="s">
        <v>296</v>
      </c>
      <c r="B5" s="38"/>
      <c r="C5" s="104" t="s">
        <v>59</v>
      </c>
      <c r="D5" s="105">
        <v>60</v>
      </c>
      <c r="E5" s="39"/>
      <c r="F5" s="106" t="s">
        <v>77</v>
      </c>
      <c r="G5" s="105">
        <v>10</v>
      </c>
      <c r="H5" s="5"/>
    </row>
    <row r="6" spans="1:8" s="4" customFormat="1" ht="15" customHeight="1" x14ac:dyDescent="0.25">
      <c r="A6" s="88" t="s">
        <v>102</v>
      </c>
      <c r="B6" s="38"/>
      <c r="C6" s="104" t="s">
        <v>60</v>
      </c>
      <c r="D6" s="105">
        <v>40</v>
      </c>
      <c r="E6" s="39"/>
      <c r="F6" s="106" t="s">
        <v>78</v>
      </c>
      <c r="G6" s="105">
        <v>50</v>
      </c>
      <c r="H6" s="5"/>
    </row>
    <row r="7" spans="1:8" s="4" customFormat="1" ht="15" customHeight="1" x14ac:dyDescent="0.25">
      <c r="A7" s="89" t="s">
        <v>103</v>
      </c>
      <c r="B7" s="38"/>
      <c r="C7" s="10" t="s">
        <v>107</v>
      </c>
      <c r="D7" s="103"/>
      <c r="E7" s="39"/>
      <c r="F7" s="10" t="s">
        <v>109</v>
      </c>
      <c r="G7" s="103"/>
      <c r="H7" s="5"/>
    </row>
    <row r="8" spans="1:8" s="4" customFormat="1" ht="15" customHeight="1" x14ac:dyDescent="0.25">
      <c r="A8" s="15" t="s">
        <v>104</v>
      </c>
      <c r="B8" s="38"/>
      <c r="C8" s="38"/>
      <c r="D8" s="39"/>
      <c r="E8" s="39"/>
      <c r="F8" s="38"/>
      <c r="G8" s="39"/>
      <c r="H8" s="5"/>
    </row>
    <row r="9" spans="1:8" s="4" customFormat="1" ht="15" customHeight="1" x14ac:dyDescent="0.25">
      <c r="A9" s="15" t="s">
        <v>300</v>
      </c>
      <c r="B9" s="38"/>
      <c r="C9" s="7" t="s">
        <v>62</v>
      </c>
      <c r="D9" s="8" t="s">
        <v>72</v>
      </c>
      <c r="E9" s="39"/>
      <c r="F9" s="11" t="s">
        <v>62</v>
      </c>
      <c r="G9" s="8" t="s">
        <v>72</v>
      </c>
      <c r="H9" s="5"/>
    </row>
    <row r="10" spans="1:8" s="4" customFormat="1" ht="15" customHeight="1" x14ac:dyDescent="0.25">
      <c r="A10" s="14" t="s">
        <v>29</v>
      </c>
      <c r="B10" s="38"/>
      <c r="C10" s="104" t="s">
        <v>63</v>
      </c>
      <c r="D10" s="105">
        <v>50</v>
      </c>
      <c r="E10" s="39"/>
      <c r="F10" s="106" t="s">
        <v>63</v>
      </c>
      <c r="G10" s="105">
        <v>50</v>
      </c>
      <c r="H10" s="5"/>
    </row>
    <row r="11" spans="1:8" s="4" customFormat="1" ht="15" customHeight="1" x14ac:dyDescent="0.25">
      <c r="A11" s="89" t="s">
        <v>105</v>
      </c>
      <c r="B11" s="38"/>
      <c r="C11" s="104" t="s">
        <v>64</v>
      </c>
      <c r="D11" s="105">
        <v>100</v>
      </c>
      <c r="E11" s="39"/>
      <c r="F11" s="106" t="s">
        <v>64</v>
      </c>
      <c r="G11" s="105">
        <v>100</v>
      </c>
      <c r="H11" s="5"/>
    </row>
    <row r="12" spans="1:8" s="4" customFormat="1" ht="15" customHeight="1" x14ac:dyDescent="0.25">
      <c r="A12" s="15"/>
      <c r="B12" s="38"/>
      <c r="C12" s="104" t="s">
        <v>65</v>
      </c>
      <c r="D12" s="105">
        <v>40</v>
      </c>
      <c r="E12" s="39"/>
      <c r="F12" s="106" t="s">
        <v>65</v>
      </c>
      <c r="G12" s="105">
        <v>40</v>
      </c>
      <c r="H12" s="5"/>
    </row>
    <row r="13" spans="1:8" s="4" customFormat="1" ht="15" customHeight="1" x14ac:dyDescent="0.25">
      <c r="A13" s="15"/>
      <c r="B13" s="38"/>
      <c r="C13" s="104" t="s">
        <v>66</v>
      </c>
      <c r="D13" s="105">
        <v>50</v>
      </c>
      <c r="E13" s="39"/>
      <c r="F13" s="106" t="s">
        <v>66</v>
      </c>
      <c r="G13" s="105">
        <v>50</v>
      </c>
      <c r="H13" s="5"/>
    </row>
    <row r="14" spans="1:8" s="4" customFormat="1" ht="15" customHeight="1" x14ac:dyDescent="0.25">
      <c r="A14" s="15"/>
      <c r="B14" s="38"/>
      <c r="C14" s="104" t="s">
        <v>67</v>
      </c>
      <c r="D14" s="105">
        <v>20</v>
      </c>
      <c r="E14" s="39"/>
      <c r="F14" s="106" t="s">
        <v>67</v>
      </c>
      <c r="G14" s="105">
        <v>20</v>
      </c>
      <c r="H14" s="38"/>
    </row>
    <row r="15" spans="1:8" s="4" customFormat="1" ht="15" customHeight="1" x14ac:dyDescent="0.25">
      <c r="A15" s="16"/>
      <c r="B15" s="38"/>
      <c r="C15" s="10" t="s">
        <v>108</v>
      </c>
      <c r="D15" s="103"/>
      <c r="E15" s="39"/>
      <c r="F15" s="10"/>
      <c r="G15" s="103">
        <f>MIN(G10:G14,10)</f>
        <v>10</v>
      </c>
      <c r="H15" s="38"/>
    </row>
    <row r="16" spans="1:8" s="4" customFormat="1" ht="15" customHeight="1" x14ac:dyDescent="0.25">
      <c r="A16" s="16"/>
      <c r="B16" s="38"/>
      <c r="C16" s="38"/>
      <c r="D16" s="38"/>
      <c r="E16" s="38"/>
      <c r="F16" s="38"/>
      <c r="G16" s="38"/>
      <c r="H16" s="38"/>
    </row>
    <row r="17" spans="1:1" s="4" customFormat="1" ht="15" customHeight="1" x14ac:dyDescent="0.25">
      <c r="A17" s="16"/>
    </row>
    <row r="18" spans="1:1" s="4" customFormat="1" ht="15" customHeight="1" x14ac:dyDescent="0.25">
      <c r="A18" s="17"/>
    </row>
    <row r="19" spans="1:1" s="4" customFormat="1" ht="15" customHeight="1" x14ac:dyDescent="0.25">
      <c r="A19" s="14" t="s">
        <v>106</v>
      </c>
    </row>
    <row r="20" spans="1:1" s="4" customFormat="1" ht="15" customHeight="1" x14ac:dyDescent="0.25">
      <c r="A20" s="16"/>
    </row>
    <row r="21" spans="1:1" s="4" customFormat="1" ht="15" customHeight="1" x14ac:dyDescent="0.25">
      <c r="A21" s="14"/>
    </row>
    <row r="22" spans="1:1" s="4" customFormat="1" ht="15" customHeight="1" x14ac:dyDescent="0.25">
      <c r="A22" s="14"/>
    </row>
    <row r="23" spans="1:1" s="4" customFormat="1" ht="15" customHeight="1" x14ac:dyDescent="0.25">
      <c r="A23" s="14"/>
    </row>
    <row r="24" spans="1:1" s="4" customFormat="1" ht="15" customHeight="1" x14ac:dyDescent="0.25">
      <c r="A24" s="14"/>
    </row>
    <row r="25" spans="1:1" s="4" customFormat="1" ht="15" customHeight="1" x14ac:dyDescent="0.25">
      <c r="A25" s="14"/>
    </row>
    <row r="27" spans="1:1" ht="15" customHeight="1" x14ac:dyDescent="0.25"/>
    <row r="28" spans="1:1" ht="15" customHeight="1" x14ac:dyDescent="0.25"/>
    <row r="29" spans="1:1" ht="15" customHeight="1" x14ac:dyDescent="0.25"/>
    <row r="30" spans="1:1" ht="15" customHeight="1" x14ac:dyDescent="0.25"/>
    <row r="31" spans="1:1" ht="15" customHeight="1" x14ac:dyDescent="0.25"/>
    <row r="32" spans="1:1" ht="15" customHeight="1" x14ac:dyDescent="0.25"/>
    <row r="33" spans="3:7" ht="15" customHeight="1" x14ac:dyDescent="0.25">
      <c r="C33" s="37"/>
      <c r="D33" s="38"/>
      <c r="E33" s="37"/>
      <c r="F33" s="37"/>
      <c r="G33" s="37"/>
    </row>
    <row r="39" spans="3:7" ht="15" customHeight="1" x14ac:dyDescent="0.25">
      <c r="C39" s="37"/>
      <c r="D39" s="38"/>
      <c r="E39" s="37"/>
      <c r="F39" s="37"/>
      <c r="G39" s="37"/>
    </row>
    <row r="40" spans="3:7" ht="15" customHeight="1" x14ac:dyDescent="0.25">
      <c r="C40" s="37"/>
      <c r="D40" s="38"/>
      <c r="E40" s="37"/>
      <c r="F40" s="37"/>
      <c r="G40" s="37"/>
    </row>
    <row r="41" spans="3:7" ht="15" customHeight="1" x14ac:dyDescent="0.25">
      <c r="C41" s="37"/>
      <c r="D41" s="38"/>
      <c r="E41" s="37"/>
      <c r="F41" s="37"/>
      <c r="G41" s="37"/>
    </row>
    <row r="42" spans="3:7" ht="15" customHeight="1" x14ac:dyDescent="0.25">
      <c r="C42" s="37"/>
      <c r="D42" s="38"/>
      <c r="E42" s="37"/>
      <c r="F42" s="37"/>
      <c r="G42" s="37"/>
    </row>
    <row r="43" spans="3:7" ht="15" customHeight="1" x14ac:dyDescent="0.25">
      <c r="C43" s="37"/>
      <c r="D43" s="38"/>
      <c r="E43" s="37"/>
      <c r="F43" s="37"/>
      <c r="G43" s="37"/>
    </row>
    <row r="44" spans="3:7" ht="15" customHeight="1" x14ac:dyDescent="0.25">
      <c r="C44" s="37"/>
      <c r="D44" s="38"/>
      <c r="E44" s="37"/>
      <c r="F44" s="37"/>
      <c r="G44" s="37"/>
    </row>
  </sheetData>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tabSelected="1" workbookViewId="0"/>
  </sheetViews>
  <sheetFormatPr defaultRowHeight="15" x14ac:dyDescent="0.25"/>
  <cols>
    <col min="1" max="1" width="12.7109375" customWidth="1"/>
    <col min="2" max="2" width="82.85546875" customWidth="1"/>
    <col min="3" max="3" width="29.7109375" bestFit="1" customWidth="1"/>
    <col min="4" max="4" width="15.140625" customWidth="1"/>
    <col min="7" max="7" width="10.7109375" bestFit="1" customWidth="1"/>
  </cols>
  <sheetData>
    <row r="1" spans="1:6" ht="60" customHeight="1" x14ac:dyDescent="0.25">
      <c r="A1" s="131" t="s">
        <v>110</v>
      </c>
    </row>
    <row r="2" spans="1:6" x14ac:dyDescent="0.25">
      <c r="A2" s="25" t="s">
        <v>111</v>
      </c>
    </row>
    <row r="3" spans="1:6" ht="33" x14ac:dyDescent="0.25">
      <c r="A3" s="25" t="s">
        <v>112</v>
      </c>
      <c r="C3" s="69"/>
      <c r="D3" s="81"/>
    </row>
    <row r="4" spans="1:6" x14ac:dyDescent="0.25">
      <c r="A4" s="25" t="s">
        <v>113</v>
      </c>
    </row>
    <row r="5" spans="1:6" x14ac:dyDescent="0.25">
      <c r="A5" s="25" t="s">
        <v>114</v>
      </c>
      <c r="C5" s="127" t="s">
        <v>110</v>
      </c>
      <c r="D5" s="127"/>
    </row>
    <row r="6" spans="1:6" ht="16.5" customHeight="1" x14ac:dyDescent="0.3">
      <c r="A6" s="25" t="s">
        <v>115</v>
      </c>
      <c r="C6" s="97" t="s">
        <v>124</v>
      </c>
      <c r="D6" s="115"/>
      <c r="F6" s="90" t="str">
        <f ca="1">IF(D6=TODAY(),"Ben fatto!","")</f>
        <v/>
      </c>
    </row>
    <row r="7" spans="1:6" ht="16.5" customHeight="1" thickBot="1" x14ac:dyDescent="0.3">
      <c r="A7" s="27" t="s">
        <v>116</v>
      </c>
      <c r="C7" s="97" t="s">
        <v>125</v>
      </c>
      <c r="D7" s="115"/>
    </row>
    <row r="8" spans="1:6" ht="16.5" customHeight="1" thickTop="1" thickBot="1" x14ac:dyDescent="0.3">
      <c r="A8" s="25" t="s">
        <v>117</v>
      </c>
      <c r="C8" s="97" t="s">
        <v>126</v>
      </c>
      <c r="D8" s="107">
        <f>D7-D6</f>
        <v>0</v>
      </c>
    </row>
    <row r="9" spans="1:6" ht="15.75" thickTop="1" x14ac:dyDescent="0.25">
      <c r="A9" s="25" t="s">
        <v>118</v>
      </c>
    </row>
    <row r="10" spans="1:6" ht="15" customHeight="1" thickBot="1" x14ac:dyDescent="0.3">
      <c r="A10" s="27" t="s">
        <v>119</v>
      </c>
      <c r="C10" s="97" t="s">
        <v>127</v>
      </c>
      <c r="D10" s="108"/>
    </row>
    <row r="11" spans="1:6" ht="15" customHeight="1" thickTop="1" thickBot="1" x14ac:dyDescent="0.3">
      <c r="A11" s="27" t="s">
        <v>120</v>
      </c>
      <c r="C11" s="97" t="s">
        <v>128</v>
      </c>
      <c r="D11" s="116">
        <f>D6+D10</f>
        <v>0</v>
      </c>
    </row>
    <row r="12" spans="1:6" ht="15.75" thickTop="1" x14ac:dyDescent="0.25">
      <c r="A12" s="25" t="s">
        <v>297</v>
      </c>
    </row>
    <row r="13" spans="1:6" x14ac:dyDescent="0.25">
      <c r="A13" s="25" t="s">
        <v>22</v>
      </c>
    </row>
    <row r="14" spans="1:6" x14ac:dyDescent="0.25">
      <c r="A14" s="25" t="s">
        <v>23</v>
      </c>
    </row>
    <row r="15" spans="1:6" x14ac:dyDescent="0.25">
      <c r="A15" s="25" t="s">
        <v>24</v>
      </c>
    </row>
    <row r="16" spans="1:6" x14ac:dyDescent="0.25">
      <c r="A16" s="25" t="s">
        <v>121</v>
      </c>
    </row>
    <row r="17" spans="1:4" x14ac:dyDescent="0.25">
      <c r="A17" s="25" t="s">
        <v>122</v>
      </c>
    </row>
    <row r="18" spans="1:4" x14ac:dyDescent="0.25">
      <c r="A18" s="25" t="s">
        <v>123</v>
      </c>
    </row>
    <row r="19" spans="1:4" x14ac:dyDescent="0.25">
      <c r="A19" s="25" t="s">
        <v>29</v>
      </c>
    </row>
    <row r="25" spans="1:4" ht="15" customHeight="1" x14ac:dyDescent="0.25">
      <c r="C25" s="69"/>
      <c r="D25" s="81"/>
    </row>
    <row r="27" spans="1:4" x14ac:dyDescent="0.25">
      <c r="C27" s="127" t="s">
        <v>117</v>
      </c>
      <c r="D27" s="127"/>
    </row>
    <row r="28" spans="1:4" x14ac:dyDescent="0.25">
      <c r="C28" s="97" t="s">
        <v>129</v>
      </c>
      <c r="D28" s="121"/>
    </row>
    <row r="31" spans="1:4" x14ac:dyDescent="0.25">
      <c r="C31" s="127" t="s">
        <v>130</v>
      </c>
      <c r="D31" s="127"/>
    </row>
    <row r="32" spans="1:4" x14ac:dyDescent="0.25">
      <c r="C32" s="97" t="s">
        <v>131</v>
      </c>
      <c r="D32" s="120">
        <v>0.33333333333333331</v>
      </c>
    </row>
    <row r="33" spans="3:4" x14ac:dyDescent="0.25">
      <c r="C33" s="97" t="s">
        <v>132</v>
      </c>
      <c r="D33" s="120">
        <v>0.5</v>
      </c>
    </row>
    <row r="34" spans="3:4" x14ac:dyDescent="0.25">
      <c r="C34" s="97" t="s">
        <v>133</v>
      </c>
      <c r="D34" s="120">
        <v>0.54166666666666663</v>
      </c>
    </row>
    <row r="35" spans="3:4" ht="15.75" thickBot="1" x14ac:dyDescent="0.3">
      <c r="C35" s="97" t="s">
        <v>134</v>
      </c>
      <c r="D35" s="120">
        <v>0.70833333333333337</v>
      </c>
    </row>
    <row r="36" spans="3:4" ht="16.5" thickTop="1" thickBot="1" x14ac:dyDescent="0.3">
      <c r="C36" s="97" t="s">
        <v>135</v>
      </c>
      <c r="D36" s="107">
        <f>((D35-D32)-(D34-D33))*24</f>
        <v>8.0000000000000018</v>
      </c>
    </row>
    <row r="37" spans="3:4" ht="15.75" thickTop="1" x14ac:dyDescent="0.25"/>
    <row r="45" spans="3:4" x14ac:dyDescent="0.25">
      <c r="C45" s="128" t="s">
        <v>136</v>
      </c>
      <c r="D45" s="128"/>
    </row>
    <row r="46" spans="3:4" x14ac:dyDescent="0.25">
      <c r="C46" s="109" t="s">
        <v>137</v>
      </c>
      <c r="D46" s="117">
        <v>43005</v>
      </c>
    </row>
    <row r="47" spans="3:4" x14ac:dyDescent="0.25">
      <c r="C47" s="109" t="s">
        <v>138</v>
      </c>
      <c r="D47" s="119">
        <v>0.36944444444444446</v>
      </c>
    </row>
  </sheetData>
  <mergeCells count="4">
    <mergeCell ref="C27:D27"/>
    <mergeCell ref="C31:D31"/>
    <mergeCell ref="C45:D45"/>
    <mergeCell ref="C5:D5"/>
  </mergeCells>
  <pageMargins left="0.7" right="0.7" top="0.75" bottom="0.75" header="0.3" footer="0.3"/>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E3" sqref="E3"/>
    </sheetView>
  </sheetViews>
  <sheetFormatPr defaultRowHeight="15" x14ac:dyDescent="0.25"/>
  <cols>
    <col min="1" max="1" width="12.7109375" style="25" customWidth="1"/>
    <col min="2" max="2" width="82.85546875" customWidth="1"/>
    <col min="3" max="3" width="16.28515625" customWidth="1"/>
    <col min="4" max="4" width="15" customWidth="1"/>
    <col min="5" max="5" width="21" bestFit="1" customWidth="1"/>
    <col min="6" max="6" width="18.28515625" customWidth="1"/>
  </cols>
  <sheetData>
    <row r="1" spans="1:6" ht="60" customHeight="1" x14ac:dyDescent="0.25">
      <c r="A1" s="25" t="s">
        <v>139</v>
      </c>
      <c r="C1" s="69"/>
      <c r="D1" s="81"/>
      <c r="E1" s="81"/>
      <c r="F1" s="81"/>
    </row>
    <row r="2" spans="1:6" x14ac:dyDescent="0.25">
      <c r="A2" s="25" t="s">
        <v>140</v>
      </c>
      <c r="C2" s="7" t="s">
        <v>151</v>
      </c>
      <c r="D2" s="7" t="s">
        <v>163</v>
      </c>
      <c r="E2" s="7" t="s">
        <v>172</v>
      </c>
      <c r="F2" s="7" t="s">
        <v>173</v>
      </c>
    </row>
    <row r="3" spans="1:6" x14ac:dyDescent="0.25">
      <c r="A3" s="25" t="s">
        <v>141</v>
      </c>
      <c r="C3" s="97" t="s">
        <v>152</v>
      </c>
      <c r="D3" s="97" t="s">
        <v>164</v>
      </c>
      <c r="E3" s="108" t="str">
        <f>D3&amp;", "&amp;C3</f>
        <v>Panicucci, Olga</v>
      </c>
      <c r="F3" s="55" t="str">
        <f>C3&amp;" "&amp;D3</f>
        <v>Olga Panicucci</v>
      </c>
    </row>
    <row r="4" spans="1:6" x14ac:dyDescent="0.25">
      <c r="A4" s="25" t="s">
        <v>142</v>
      </c>
      <c r="C4" s="97" t="s">
        <v>153</v>
      </c>
      <c r="D4" s="97" t="s">
        <v>165</v>
      </c>
      <c r="E4" s="108"/>
      <c r="F4" s="55"/>
    </row>
    <row r="5" spans="1:6" x14ac:dyDescent="0.25">
      <c r="A5" s="25" t="s">
        <v>143</v>
      </c>
      <c r="C5" s="97" t="s">
        <v>154</v>
      </c>
      <c r="D5" s="97" t="s">
        <v>166</v>
      </c>
      <c r="E5" s="108"/>
      <c r="F5" s="55"/>
    </row>
    <row r="6" spans="1:6" x14ac:dyDescent="0.25">
      <c r="A6" s="25" t="s">
        <v>10</v>
      </c>
      <c r="C6" s="97" t="s">
        <v>155</v>
      </c>
      <c r="D6" s="97" t="s">
        <v>167</v>
      </c>
      <c r="E6" s="108"/>
      <c r="F6" s="55"/>
    </row>
    <row r="7" spans="1:6" x14ac:dyDescent="0.25">
      <c r="A7" s="25" t="s">
        <v>23</v>
      </c>
      <c r="C7" s="97" t="s">
        <v>156</v>
      </c>
      <c r="D7" s="97" t="s">
        <v>168</v>
      </c>
      <c r="E7" s="108"/>
      <c r="F7" s="55"/>
    </row>
    <row r="8" spans="1:6" x14ac:dyDescent="0.25">
      <c r="A8" s="25" t="s">
        <v>144</v>
      </c>
      <c r="C8" s="97" t="s">
        <v>157</v>
      </c>
      <c r="D8" s="97" t="s">
        <v>169</v>
      </c>
      <c r="E8" s="108"/>
      <c r="F8" s="55"/>
    </row>
    <row r="9" spans="1:6" x14ac:dyDescent="0.25">
      <c r="A9" s="25" t="s">
        <v>145</v>
      </c>
      <c r="C9" s="97" t="s">
        <v>158</v>
      </c>
      <c r="D9" s="97" t="s">
        <v>170</v>
      </c>
      <c r="E9" s="108"/>
      <c r="F9" s="55"/>
    </row>
    <row r="10" spans="1:6" x14ac:dyDescent="0.25">
      <c r="A10" s="25" t="s">
        <v>146</v>
      </c>
      <c r="C10" s="97" t="s">
        <v>159</v>
      </c>
      <c r="D10" s="97" t="s">
        <v>171</v>
      </c>
      <c r="E10" s="108"/>
      <c r="F10" s="55"/>
    </row>
    <row r="11" spans="1:6" ht="15" customHeight="1" x14ac:dyDescent="0.25">
      <c r="A11" s="27" t="s">
        <v>298</v>
      </c>
    </row>
    <row r="12" spans="1:6" x14ac:dyDescent="0.25">
      <c r="A12" s="25" t="s">
        <v>147</v>
      </c>
    </row>
    <row r="13" spans="1:6" ht="15" customHeight="1" x14ac:dyDescent="0.25">
      <c r="A13" s="27" t="s">
        <v>148</v>
      </c>
    </row>
    <row r="14" spans="1:6" x14ac:dyDescent="0.25">
      <c r="A14" s="25" t="s">
        <v>24</v>
      </c>
    </row>
    <row r="15" spans="1:6" x14ac:dyDescent="0.25">
      <c r="A15" s="25" t="s">
        <v>149</v>
      </c>
    </row>
    <row r="16" spans="1:6" x14ac:dyDescent="0.25">
      <c r="A16" s="25" t="s">
        <v>150</v>
      </c>
    </row>
    <row r="17" spans="1:4" x14ac:dyDescent="0.25">
      <c r="A17" s="25" t="s">
        <v>29</v>
      </c>
    </row>
    <row r="21" spans="1:4" x14ac:dyDescent="0.25">
      <c r="D21" s="12"/>
    </row>
    <row r="27" spans="1:4" x14ac:dyDescent="0.25">
      <c r="C27" s="127" t="s">
        <v>160</v>
      </c>
      <c r="D27" s="127"/>
    </row>
    <row r="28" spans="1:4" x14ac:dyDescent="0.25">
      <c r="C28" s="97" t="s">
        <v>124</v>
      </c>
      <c r="D28" s="115">
        <f ca="1">TODAY()</f>
        <v>46192</v>
      </c>
    </row>
    <row r="29" spans="1:4" x14ac:dyDescent="0.25">
      <c r="C29" s="97" t="s">
        <v>129</v>
      </c>
      <c r="D29" s="122">
        <f ca="1">NOW()</f>
        <v>46192.063320254631</v>
      </c>
    </row>
    <row r="31" spans="1:4" x14ac:dyDescent="0.25">
      <c r="C31" s="128" t="s">
        <v>161</v>
      </c>
      <c r="D31" s="128"/>
    </row>
    <row r="32" spans="1:4" x14ac:dyDescent="0.25">
      <c r="C32" s="97" t="str">
        <f ca="1">C28&amp;" "&amp;D28</f>
        <v>Data odierna: 46192</v>
      </c>
      <c r="D32" s="97"/>
    </row>
    <row r="33" spans="3:4" x14ac:dyDescent="0.25">
      <c r="C33" s="97" t="str">
        <f ca="1">C29&amp;" "&amp;D29</f>
        <v>Ora corrente: 46192,0633202546</v>
      </c>
      <c r="D33" s="97"/>
    </row>
    <row r="35" spans="3:4" x14ac:dyDescent="0.25">
      <c r="C35" s="129" t="s">
        <v>162</v>
      </c>
      <c r="D35" s="129"/>
    </row>
    <row r="36" spans="3:4" x14ac:dyDescent="0.25">
      <c r="C36" s="55" t="str">
        <f ca="1">C28 &amp;" "&amp; TEXT(D28,"GG/MM/AAAA")</f>
        <v>Data odierna: 19/06/2026</v>
      </c>
      <c r="D36" s="55"/>
    </row>
    <row r="37" spans="3:4" x14ac:dyDescent="0.25">
      <c r="C37" s="55" t="str">
        <f ca="1">C29&amp;" "&amp;TEXT(D29,"H:MM")</f>
        <v>Ora corrente: 1:31</v>
      </c>
      <c r="D37" s="55"/>
    </row>
  </sheetData>
  <mergeCells count="3">
    <mergeCell ref="C27:D27"/>
    <mergeCell ref="C31:D31"/>
    <mergeCell ref="C35:D35"/>
  </mergeCells>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D9" sqref="D9"/>
    </sheetView>
  </sheetViews>
  <sheetFormatPr defaultRowHeight="15" x14ac:dyDescent="0.25"/>
  <cols>
    <col min="1" max="1" width="12.7109375" customWidth="1"/>
    <col min="2" max="2" width="82.85546875" customWidth="1"/>
    <col min="3" max="3" width="17.140625" customWidth="1"/>
    <col min="4" max="4" width="26.140625" bestFit="1" customWidth="1"/>
    <col min="6" max="6" width="14.140625" bestFit="1" customWidth="1"/>
  </cols>
  <sheetData>
    <row r="1" spans="1:6" ht="60" customHeight="1" x14ac:dyDescent="0.25">
      <c r="A1" s="25" t="s">
        <v>174</v>
      </c>
      <c r="D1" s="81"/>
    </row>
    <row r="2" spans="1:6" x14ac:dyDescent="0.25">
      <c r="A2" s="25" t="s">
        <v>175</v>
      </c>
      <c r="E2" s="30"/>
      <c r="F2" s="30"/>
    </row>
    <row r="3" spans="1:6" ht="15" customHeight="1" x14ac:dyDescent="0.25">
      <c r="A3" s="27" t="s">
        <v>294</v>
      </c>
      <c r="E3" s="30"/>
      <c r="F3" s="30"/>
    </row>
    <row r="4" spans="1:6" ht="15" customHeight="1" x14ac:dyDescent="0.25">
      <c r="A4" s="27" t="s">
        <v>176</v>
      </c>
      <c r="E4" s="30"/>
      <c r="F4" s="30"/>
    </row>
    <row r="5" spans="1:6" ht="15" customHeight="1" x14ac:dyDescent="0.25">
      <c r="A5" s="27" t="s">
        <v>177</v>
      </c>
      <c r="C5" s="91"/>
      <c r="E5" s="30"/>
      <c r="F5" s="30"/>
    </row>
    <row r="6" spans="1:6" ht="15" customHeight="1" x14ac:dyDescent="0.25">
      <c r="A6" s="27" t="s">
        <v>301</v>
      </c>
      <c r="E6" s="30"/>
      <c r="F6" s="30"/>
    </row>
    <row r="7" spans="1:6" x14ac:dyDescent="0.25">
      <c r="A7" s="25" t="s">
        <v>10</v>
      </c>
      <c r="C7" s="30"/>
      <c r="D7" s="30"/>
      <c r="E7" s="30"/>
      <c r="F7" s="30"/>
    </row>
    <row r="8" spans="1:6" x14ac:dyDescent="0.25">
      <c r="A8" s="25" t="s">
        <v>23</v>
      </c>
      <c r="C8" s="130" t="s">
        <v>174</v>
      </c>
      <c r="D8" s="130"/>
    </row>
    <row r="9" spans="1:6" x14ac:dyDescent="0.25">
      <c r="A9" s="25" t="s">
        <v>178</v>
      </c>
      <c r="C9" s="110" t="s">
        <v>188</v>
      </c>
      <c r="D9" s="47"/>
    </row>
    <row r="10" spans="1:6" x14ac:dyDescent="0.25">
      <c r="A10" s="25" t="s">
        <v>179</v>
      </c>
      <c r="C10" s="110" t="s">
        <v>189</v>
      </c>
      <c r="D10" s="47"/>
    </row>
    <row r="11" spans="1:6" ht="15" customHeight="1" thickBot="1" x14ac:dyDescent="0.3">
      <c r="A11" s="27" t="s">
        <v>180</v>
      </c>
      <c r="C11" s="30"/>
      <c r="D11" s="30"/>
    </row>
    <row r="12" spans="1:6" ht="15" customHeight="1" thickTop="1" thickBot="1" x14ac:dyDescent="0.3">
      <c r="A12" s="27" t="s">
        <v>181</v>
      </c>
      <c r="C12" s="53">
        <v>50</v>
      </c>
      <c r="D12" s="47" t="str">
        <f>IF(C12&lt;100,"Minore di 100","Maggiore di 100")</f>
        <v>Minore di 100</v>
      </c>
    </row>
    <row r="13" spans="1:6" ht="15" customHeight="1" thickTop="1" x14ac:dyDescent="0.25">
      <c r="A13" s="27" t="s">
        <v>182</v>
      </c>
    </row>
    <row r="14" spans="1:6" x14ac:dyDescent="0.25">
      <c r="A14" s="25" t="s">
        <v>183</v>
      </c>
    </row>
    <row r="15" spans="1:6" ht="15" customHeight="1" x14ac:dyDescent="0.25">
      <c r="A15" s="27" t="s">
        <v>184</v>
      </c>
    </row>
    <row r="16" spans="1:6" x14ac:dyDescent="0.25">
      <c r="A16" s="25" t="s">
        <v>22</v>
      </c>
    </row>
    <row r="17" spans="1:6" x14ac:dyDescent="0.25">
      <c r="A17" s="25" t="s">
        <v>23</v>
      </c>
    </row>
    <row r="18" spans="1:6" x14ac:dyDescent="0.25">
      <c r="A18" s="25" t="s">
        <v>24</v>
      </c>
      <c r="C18" s="12"/>
    </row>
    <row r="19" spans="1:6" x14ac:dyDescent="0.25">
      <c r="A19" s="25" t="s">
        <v>185</v>
      </c>
    </row>
    <row r="20" spans="1:6" x14ac:dyDescent="0.25">
      <c r="A20" s="25" t="s">
        <v>186</v>
      </c>
    </row>
    <row r="21" spans="1:6" x14ac:dyDescent="0.25">
      <c r="A21" s="25" t="s">
        <v>187</v>
      </c>
    </row>
    <row r="22" spans="1:6" x14ac:dyDescent="0.25">
      <c r="A22" s="25" t="s">
        <v>29</v>
      </c>
    </row>
    <row r="26" spans="1:6" ht="15.75" thickBot="1" x14ac:dyDescent="0.3"/>
    <row r="27" spans="1:6" ht="15.75" thickBot="1" x14ac:dyDescent="0.3">
      <c r="C27" s="62" t="s">
        <v>62</v>
      </c>
      <c r="D27" s="63" t="s">
        <v>72</v>
      </c>
      <c r="E27" s="63" t="s">
        <v>196</v>
      </c>
      <c r="F27" s="63" t="s">
        <v>195</v>
      </c>
    </row>
    <row r="28" spans="1:6" x14ac:dyDescent="0.25">
      <c r="C28" s="64" t="s">
        <v>190</v>
      </c>
      <c r="D28" s="64">
        <v>2</v>
      </c>
      <c r="E28" s="123">
        <v>9.7607115856835538</v>
      </c>
      <c r="F28" s="123">
        <f>'Istruzioni SE'!$E$28:$E$29*'Istruzioni SE'!$D$28:$D$29</f>
        <v>19.521423171367108</v>
      </c>
    </row>
    <row r="29" spans="1:6" ht="15.75" thickBot="1" x14ac:dyDescent="0.3">
      <c r="C29" s="56" t="s">
        <v>191</v>
      </c>
      <c r="D29" s="56">
        <v>3</v>
      </c>
      <c r="E29" s="124">
        <v>3.4189202461080024</v>
      </c>
      <c r="F29" s="124">
        <f>'Istruzioni SE'!$E$28:$E$29*'Istruzioni SE'!$D$28:$D$29</f>
        <v>10.256760738324008</v>
      </c>
    </row>
    <row r="30" spans="1:6" x14ac:dyDescent="0.25">
      <c r="C30" s="30"/>
      <c r="D30" s="30"/>
      <c r="E30" s="30"/>
    </row>
    <row r="31" spans="1:6" x14ac:dyDescent="0.25">
      <c r="C31" s="30"/>
      <c r="D31" s="30" t="s">
        <v>192</v>
      </c>
      <c r="E31" s="125">
        <f>SUM('Istruzioni SE'!$E$28:$E$29)</f>
        <v>13.179631831791557</v>
      </c>
      <c r="F31" s="125">
        <f>SUM('Istruzioni SE'!F28:F29)</f>
        <v>29.778183909691116</v>
      </c>
    </row>
    <row r="32" spans="1:6" ht="15.75" thickBot="1" x14ac:dyDescent="0.3">
      <c r="C32" s="30"/>
      <c r="D32" s="30"/>
      <c r="E32" s="30"/>
      <c r="F32" s="30"/>
    </row>
    <row r="33" spans="3:6" ht="16.5" thickTop="1" thickBot="1" x14ac:dyDescent="0.3">
      <c r="C33" s="30"/>
      <c r="D33" s="30" t="s">
        <v>193</v>
      </c>
      <c r="E33" s="53" t="s">
        <v>197</v>
      </c>
      <c r="F33" s="126">
        <f>IF(E33="Sì",F31*IVA,0)</f>
        <v>2.456700172549517</v>
      </c>
    </row>
    <row r="34" spans="3:6" ht="16.5" thickTop="1" thickBot="1" x14ac:dyDescent="0.3">
      <c r="C34" s="30"/>
      <c r="D34" s="30"/>
      <c r="E34" s="30"/>
      <c r="F34" s="30"/>
    </row>
    <row r="35" spans="3:6" ht="16.5" thickTop="1" thickBot="1" x14ac:dyDescent="0.3">
      <c r="C35" s="30"/>
      <c r="D35" s="30" t="s">
        <v>194</v>
      </c>
      <c r="E35" s="53" t="s">
        <v>197</v>
      </c>
      <c r="F35" s="126">
        <f>IF(E35="Sì",SUM(D28:D29)*1.25,0)</f>
        <v>6.25</v>
      </c>
    </row>
    <row r="36" spans="3:6" ht="15.75" thickTop="1" x14ac:dyDescent="0.25"/>
    <row r="37" spans="3:6" x14ac:dyDescent="0.25">
      <c r="D37" s="30" t="s">
        <v>195</v>
      </c>
      <c r="E37" s="30"/>
      <c r="F37" s="125">
        <f>SUM(F33,F31,F35)</f>
        <v>38.484884082240633</v>
      </c>
    </row>
  </sheetData>
  <mergeCells count="1">
    <mergeCell ref="C8:D8"/>
  </mergeCells>
  <dataValidations count="1">
    <dataValidation type="list" allowBlank="1" showInputMessage="1" showErrorMessage="1" sqref="E33 E35" xr:uid="{00000000-0002-0000-0700-000000000000}">
      <formula1>"Sì,No"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22" sqref="D22"/>
    </sheetView>
  </sheetViews>
  <sheetFormatPr defaultColWidth="8.85546875" defaultRowHeight="15" customHeight="1" x14ac:dyDescent="0.25"/>
  <cols>
    <col min="1" max="1" width="12.7109375" style="9"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7" ht="60" customHeight="1" x14ac:dyDescent="0.25">
      <c r="A1" s="9" t="s">
        <v>198</v>
      </c>
      <c r="B1" s="37"/>
      <c r="D1" s="80"/>
      <c r="E1" s="80"/>
      <c r="F1" s="80"/>
      <c r="G1" s="80"/>
    </row>
    <row r="2" spans="1:7" ht="15" customHeight="1" x14ac:dyDescent="0.25">
      <c r="A2" s="9" t="s">
        <v>199</v>
      </c>
      <c r="B2" s="37"/>
    </row>
    <row r="3" spans="1:7" ht="15" customHeight="1" x14ac:dyDescent="0.25">
      <c r="A3" s="9" t="s">
        <v>200</v>
      </c>
      <c r="B3" s="37"/>
    </row>
    <row r="4" spans="1:7" ht="15" customHeight="1" x14ac:dyDescent="0.25">
      <c r="A4" s="9" t="s">
        <v>201</v>
      </c>
      <c r="B4" s="37"/>
    </row>
    <row r="5" spans="1:7" s="4" customFormat="1" ht="15" customHeight="1" x14ac:dyDescent="0.25">
      <c r="A5" s="24" t="s">
        <v>202</v>
      </c>
      <c r="B5" s="38"/>
    </row>
    <row r="6" spans="1:7" s="4" customFormat="1" ht="15" customHeight="1" x14ac:dyDescent="0.25">
      <c r="A6" s="24" t="s">
        <v>203</v>
      </c>
      <c r="B6" s="38"/>
    </row>
    <row r="7" spans="1:7" s="4" customFormat="1" ht="15" customHeight="1" x14ac:dyDescent="0.25">
      <c r="A7" s="24" t="s">
        <v>204</v>
      </c>
      <c r="B7" s="38"/>
    </row>
    <row r="8" spans="1:7" s="4" customFormat="1" ht="15" customHeight="1" x14ac:dyDescent="0.25">
      <c r="A8" s="87" t="s">
        <v>205</v>
      </c>
      <c r="B8" s="38"/>
    </row>
    <row r="9" spans="1:7" s="4" customFormat="1" ht="15" customHeight="1" x14ac:dyDescent="0.25">
      <c r="A9" s="87" t="s">
        <v>206</v>
      </c>
      <c r="B9" s="38"/>
    </row>
    <row r="10" spans="1:7" s="4" customFormat="1" ht="15" customHeight="1" x14ac:dyDescent="0.25">
      <c r="A10" s="24" t="s">
        <v>207</v>
      </c>
      <c r="B10" s="38"/>
    </row>
    <row r="11" spans="1:7" s="4" customFormat="1" ht="15" customHeight="1" x14ac:dyDescent="0.25">
      <c r="A11" s="24" t="s">
        <v>10</v>
      </c>
      <c r="B11" s="38"/>
    </row>
    <row r="12" spans="1:7" s="4" customFormat="1" ht="15" customHeight="1" x14ac:dyDescent="0.25">
      <c r="A12" s="24" t="s">
        <v>23</v>
      </c>
      <c r="B12" s="38"/>
    </row>
    <row r="13" spans="1:7" s="4" customFormat="1" ht="15" customHeight="1" x14ac:dyDescent="0.25">
      <c r="A13" s="24" t="s">
        <v>208</v>
      </c>
      <c r="B13" s="38"/>
      <c r="C13" s="91"/>
      <c r="D13" s="94"/>
      <c r="E13" s="94"/>
      <c r="F13" s="94"/>
      <c r="G13" s="94"/>
    </row>
    <row r="14" spans="1:7" s="4" customFormat="1" ht="15" customHeight="1" x14ac:dyDescent="0.25">
      <c r="A14" s="24" t="s">
        <v>209</v>
      </c>
      <c r="B14" s="38"/>
      <c r="C14" s="94"/>
      <c r="D14" s="94"/>
      <c r="E14" s="94"/>
      <c r="F14" s="94"/>
      <c r="G14" s="94"/>
    </row>
    <row r="15" spans="1:7" s="4" customFormat="1" ht="15" customHeight="1" x14ac:dyDescent="0.25">
      <c r="A15" s="87" t="s">
        <v>210</v>
      </c>
      <c r="B15" s="38"/>
    </row>
    <row r="16" spans="1:7" s="4" customFormat="1" ht="15" customHeight="1" x14ac:dyDescent="0.25">
      <c r="A16" s="27" t="s">
        <v>211</v>
      </c>
      <c r="B16" s="38"/>
      <c r="C16" s="31" t="s">
        <v>56</v>
      </c>
      <c r="D16" s="29" t="s">
        <v>72</v>
      </c>
      <c r="E16" s="23"/>
      <c r="F16" s="28" t="s">
        <v>74</v>
      </c>
      <c r="G16" s="29" t="s">
        <v>72</v>
      </c>
    </row>
    <row r="17" spans="1:12" s="4" customFormat="1" ht="15" customHeight="1" x14ac:dyDescent="0.25">
      <c r="A17" s="24" t="s">
        <v>212</v>
      </c>
      <c r="C17" s="106" t="s">
        <v>57</v>
      </c>
      <c r="D17" s="105">
        <v>50</v>
      </c>
      <c r="E17" s="39"/>
      <c r="F17" s="106" t="s">
        <v>75</v>
      </c>
      <c r="G17" s="105">
        <v>50</v>
      </c>
      <c r="H17" s="38"/>
      <c r="I17" s="38"/>
      <c r="J17" s="38"/>
      <c r="K17" s="38"/>
      <c r="L17" s="38"/>
    </row>
    <row r="18" spans="1:12" s="4" customFormat="1" ht="15" customHeight="1" x14ac:dyDescent="0.25">
      <c r="A18" s="24" t="s">
        <v>22</v>
      </c>
      <c r="C18" s="106" t="s">
        <v>58</v>
      </c>
      <c r="D18" s="105">
        <v>20</v>
      </c>
      <c r="E18" s="39"/>
      <c r="F18" s="106" t="s">
        <v>76</v>
      </c>
      <c r="G18" s="105">
        <v>30</v>
      </c>
      <c r="H18" s="38"/>
      <c r="I18" s="38"/>
      <c r="J18" s="38"/>
      <c r="K18" s="38"/>
      <c r="L18" s="38"/>
    </row>
    <row r="19" spans="1:12" s="4" customFormat="1" ht="15" customHeight="1" x14ac:dyDescent="0.25">
      <c r="A19" s="24" t="s">
        <v>23</v>
      </c>
      <c r="C19" s="106" t="s">
        <v>59</v>
      </c>
      <c r="D19" s="105">
        <v>60</v>
      </c>
      <c r="E19" s="39"/>
      <c r="F19" s="106" t="s">
        <v>77</v>
      </c>
      <c r="G19" s="105">
        <v>10</v>
      </c>
      <c r="H19" s="38"/>
      <c r="I19" s="38"/>
      <c r="J19" s="38"/>
      <c r="K19" s="38"/>
      <c r="L19" s="38"/>
    </row>
    <row r="20" spans="1:12" s="4" customFormat="1" ht="15" customHeight="1" x14ac:dyDescent="0.25">
      <c r="A20" s="24" t="s">
        <v>24</v>
      </c>
      <c r="C20" s="106" t="s">
        <v>60</v>
      </c>
      <c r="D20" s="105">
        <v>40</v>
      </c>
      <c r="E20" s="39"/>
      <c r="F20" s="106" t="s">
        <v>78</v>
      </c>
      <c r="G20" s="105">
        <v>50</v>
      </c>
      <c r="H20" s="38"/>
      <c r="I20" s="38"/>
      <c r="J20" s="38"/>
      <c r="K20" s="38"/>
      <c r="L20" s="38"/>
    </row>
    <row r="21" spans="1:12" s="4" customFormat="1" ht="15" customHeight="1" thickBot="1" x14ac:dyDescent="0.3">
      <c r="A21" s="24" t="s">
        <v>213</v>
      </c>
      <c r="C21" s="38"/>
      <c r="D21" s="38"/>
      <c r="E21" s="38"/>
      <c r="F21" s="38"/>
      <c r="G21" s="38"/>
      <c r="H21" s="38"/>
      <c r="I21" s="38"/>
      <c r="J21" s="38"/>
      <c r="K21" s="38"/>
      <c r="L21" s="38"/>
    </row>
    <row r="22" spans="1:12" s="4" customFormat="1" ht="15" customHeight="1" thickTop="1" thickBot="1" x14ac:dyDescent="0.3">
      <c r="A22" s="24" t="s">
        <v>214</v>
      </c>
      <c r="C22" s="54" t="s">
        <v>57</v>
      </c>
      <c r="D22" s="42"/>
      <c r="E22" s="39"/>
      <c r="F22" s="54" t="s">
        <v>77</v>
      </c>
      <c r="G22" s="42"/>
      <c r="H22" s="38"/>
      <c r="I22" s="38"/>
      <c r="J22" s="38"/>
      <c r="K22" s="38"/>
      <c r="L22" s="38"/>
    </row>
    <row r="23" spans="1:12" s="4" customFormat="1" ht="15" customHeight="1" thickTop="1" x14ac:dyDescent="0.25">
      <c r="A23" s="24" t="s">
        <v>215</v>
      </c>
      <c r="C23" s="38"/>
      <c r="D23" s="39"/>
      <c r="E23" s="39"/>
      <c r="F23" s="38"/>
      <c r="G23" s="39"/>
      <c r="H23" s="38"/>
      <c r="I23" s="38"/>
      <c r="J23" s="38"/>
      <c r="K23" s="38"/>
      <c r="L23" s="38"/>
    </row>
    <row r="24" spans="1:12" s="4" customFormat="1" ht="15" customHeight="1" x14ac:dyDescent="0.25">
      <c r="A24" s="24" t="s">
        <v>216</v>
      </c>
      <c r="H24" s="38"/>
      <c r="I24" s="38"/>
      <c r="J24" s="38"/>
      <c r="K24" s="38"/>
      <c r="L24" s="38"/>
    </row>
    <row r="25" spans="1:12" s="4" customFormat="1" ht="15" customHeight="1" x14ac:dyDescent="0.25">
      <c r="A25" s="24" t="s">
        <v>29</v>
      </c>
      <c r="H25" s="38"/>
      <c r="I25" s="38"/>
      <c r="J25" s="38"/>
      <c r="K25" s="38"/>
      <c r="L25" s="38"/>
    </row>
    <row r="26" spans="1:12" ht="15" customHeight="1" x14ac:dyDescent="0.25">
      <c r="C26" s="4"/>
      <c r="E26" s="4"/>
      <c r="F26" s="4"/>
      <c r="G26" s="4"/>
      <c r="H26" s="37"/>
      <c r="I26" s="38"/>
      <c r="J26" s="38"/>
      <c r="K26" s="38"/>
      <c r="L26" s="38"/>
    </row>
    <row r="27" spans="1:12" ht="15" customHeight="1" x14ac:dyDescent="0.25">
      <c r="C27" s="4"/>
      <c r="E27" s="4"/>
      <c r="F27" s="4"/>
      <c r="G27" s="4"/>
      <c r="H27" s="37"/>
      <c r="I27" s="37"/>
      <c r="J27" s="37"/>
      <c r="K27" s="37"/>
      <c r="L27" s="37"/>
    </row>
    <row r="28" spans="1:12" ht="15" customHeight="1" x14ac:dyDescent="0.25">
      <c r="C28" s="4"/>
      <c r="E28" s="4"/>
      <c r="F28" s="4"/>
      <c r="G28" s="4"/>
      <c r="H28" s="37"/>
      <c r="I28" s="37"/>
      <c r="J28" s="37"/>
      <c r="K28" s="37"/>
      <c r="L28" s="37"/>
    </row>
    <row r="29" spans="1:12" ht="15" customHeight="1" x14ac:dyDescent="0.25">
      <c r="H29" s="37"/>
      <c r="I29" s="37"/>
      <c r="J29" s="37"/>
      <c r="K29" s="37"/>
      <c r="L29" s="37"/>
    </row>
    <row r="30" spans="1:12" ht="15" customHeight="1" x14ac:dyDescent="0.25">
      <c r="H30" s="37"/>
      <c r="I30" s="37"/>
      <c r="J30" s="37"/>
      <c r="K30" s="37"/>
      <c r="L30" s="37"/>
    </row>
    <row r="31" spans="1:12" ht="15" customHeight="1" x14ac:dyDescent="0.25">
      <c r="H31" s="37"/>
      <c r="I31" s="37"/>
      <c r="J31" s="37"/>
      <c r="K31" s="37"/>
      <c r="L31" s="37"/>
    </row>
    <row r="32" spans="1:12" ht="15" customHeight="1" x14ac:dyDescent="0.25">
      <c r="H32" s="37"/>
      <c r="I32" s="37"/>
      <c r="J32" s="37"/>
      <c r="K32" s="37"/>
      <c r="L32" s="37"/>
    </row>
    <row r="33" spans="2:7" ht="15" customHeight="1" x14ac:dyDescent="0.25">
      <c r="B33" s="37"/>
      <c r="C33" s="92"/>
      <c r="D33" s="93"/>
      <c r="E33" s="93"/>
      <c r="F33" s="93"/>
      <c r="G33" s="93"/>
    </row>
    <row r="34" spans="2:7" ht="15" customHeight="1" x14ac:dyDescent="0.25">
      <c r="B34" s="37"/>
      <c r="C34" s="93"/>
      <c r="D34" s="93"/>
      <c r="E34" s="93"/>
      <c r="F34" s="93"/>
      <c r="G34" s="93"/>
    </row>
    <row r="35" spans="2:7" ht="15" customHeight="1" x14ac:dyDescent="0.25">
      <c r="B35" s="37"/>
      <c r="C35" s="82" t="s">
        <v>96</v>
      </c>
      <c r="D35" s="80"/>
      <c r="E35" s="80"/>
      <c r="F35" s="80"/>
      <c r="G35" s="80"/>
    </row>
    <row r="36" spans="2:7" ht="15" customHeight="1" x14ac:dyDescent="0.25">
      <c r="B36" s="37"/>
      <c r="C36" s="31" t="s">
        <v>62</v>
      </c>
      <c r="D36" s="29" t="s">
        <v>72</v>
      </c>
      <c r="E36" s="23"/>
      <c r="F36" s="28" t="s">
        <v>62</v>
      </c>
      <c r="G36" s="29" t="s">
        <v>72</v>
      </c>
    </row>
    <row r="37" spans="2:7" ht="15" customHeight="1" x14ac:dyDescent="0.25">
      <c r="B37" s="37"/>
      <c r="C37" s="106" t="s">
        <v>63</v>
      </c>
      <c r="D37" s="105">
        <v>50</v>
      </c>
      <c r="E37" s="39"/>
      <c r="F37" s="106" t="s">
        <v>63</v>
      </c>
      <c r="G37" s="105">
        <v>50</v>
      </c>
    </row>
    <row r="38" spans="2:7" ht="15" customHeight="1" x14ac:dyDescent="0.25">
      <c r="B38" s="37"/>
      <c r="C38" s="106" t="s">
        <v>64</v>
      </c>
      <c r="D38" s="105">
        <v>100</v>
      </c>
      <c r="E38" s="39"/>
      <c r="F38" s="106" t="s">
        <v>64</v>
      </c>
      <c r="G38" s="105">
        <v>100</v>
      </c>
    </row>
    <row r="39" spans="2:7" ht="15" customHeight="1" x14ac:dyDescent="0.25">
      <c r="B39" s="37"/>
      <c r="C39" s="106" t="s">
        <v>65</v>
      </c>
      <c r="D39" s="105">
        <v>40</v>
      </c>
      <c r="E39" s="39"/>
      <c r="F39" s="106" t="s">
        <v>65</v>
      </c>
      <c r="G39" s="105">
        <v>40</v>
      </c>
    </row>
    <row r="40" spans="2:7" ht="15" customHeight="1" x14ac:dyDescent="0.25">
      <c r="C40" s="106" t="s">
        <v>66</v>
      </c>
      <c r="D40" s="105">
        <v>50</v>
      </c>
      <c r="E40" s="39"/>
      <c r="F40" s="106" t="s">
        <v>66</v>
      </c>
      <c r="G40" s="105">
        <v>50</v>
      </c>
    </row>
    <row r="41" spans="2:7" ht="15" customHeight="1" x14ac:dyDescent="0.25">
      <c r="C41" s="106" t="s">
        <v>67</v>
      </c>
      <c r="D41" s="105">
        <v>20</v>
      </c>
      <c r="E41" s="39"/>
      <c r="F41" s="106" t="s">
        <v>67</v>
      </c>
      <c r="G41" s="105">
        <v>20</v>
      </c>
    </row>
    <row r="42" spans="2:7" ht="15" customHeight="1" thickBot="1" x14ac:dyDescent="0.3">
      <c r="C42" s="38"/>
      <c r="D42" s="38"/>
      <c r="E42" s="38"/>
      <c r="F42" s="38"/>
      <c r="G42" s="38"/>
    </row>
    <row r="43" spans="2:7" ht="15" customHeight="1" thickTop="1" thickBot="1" x14ac:dyDescent="0.3">
      <c r="B43" s="37"/>
      <c r="C43" s="54"/>
      <c r="D43" s="42" t="e">
        <f>VLOOKUP(C43,C37:D41,2,FALSE)</f>
        <v>#N/A</v>
      </c>
      <c r="E43" s="39"/>
      <c r="F43" s="84" t="s">
        <v>217</v>
      </c>
      <c r="G43" s="42" t="str">
        <f>IFERROR(VLOOKUP(F43,F37:G41,2,FALSE),"")</f>
        <v/>
      </c>
    </row>
    <row r="44" spans="2:7" ht="15" customHeight="1" thickTop="1" x14ac:dyDescent="0.25">
      <c r="B44" s="37"/>
      <c r="C44" s="37"/>
      <c r="D44" s="38"/>
      <c r="E44" s="37"/>
      <c r="F44" s="37"/>
      <c r="G44" s="37"/>
    </row>
    <row r="45" spans="2:7" ht="15" customHeight="1" x14ac:dyDescent="0.25">
      <c r="B45" s="37"/>
      <c r="C45" s="37"/>
      <c r="D45" s="38"/>
      <c r="E45" s="37"/>
      <c r="F45" s="37"/>
      <c r="G45" s="37"/>
    </row>
    <row r="46" spans="2:7" ht="15" customHeight="1" x14ac:dyDescent="0.25">
      <c r="B46" s="37"/>
      <c r="C46" s="37"/>
      <c r="D46" s="38"/>
      <c r="E46" s="37"/>
      <c r="F46" s="37"/>
      <c r="G46" s="37"/>
    </row>
    <row r="47" spans="2:7" ht="15" customHeight="1" x14ac:dyDescent="0.25">
      <c r="B47" s="37"/>
      <c r="C47" s="37"/>
      <c r="D47" s="38"/>
      <c r="E47" s="37"/>
      <c r="F47" s="37"/>
      <c r="G47" s="37"/>
    </row>
    <row r="48" spans="2:7" ht="15" customHeight="1" x14ac:dyDescent="0.25">
      <c r="B48" s="37"/>
      <c r="C48" s="37"/>
      <c r="D48" s="38"/>
      <c r="E48" s="37"/>
      <c r="F48" s="37"/>
      <c r="G48" s="37"/>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zoomScaleNormal="100" workbookViewId="0">
      <selection activeCell="D17" sqref="D17"/>
    </sheetView>
  </sheetViews>
  <sheetFormatPr defaultColWidth="8.85546875" defaultRowHeight="15" x14ac:dyDescent="0.25"/>
  <cols>
    <col min="1" max="1" width="12.7109375" style="9" customWidth="1"/>
    <col min="2" max="2" width="82.85546875" style="22" customWidth="1"/>
    <col min="3" max="4" width="12.7109375" style="18" customWidth="1"/>
    <col min="5" max="5" width="8.42578125" style="18" bestFit="1" customWidth="1"/>
    <col min="6" max="7" width="12.7109375" style="18" customWidth="1"/>
    <col min="8" max="8" width="14.85546875" style="18" bestFit="1" customWidth="1"/>
    <col min="9" max="24" width="8.85546875" style="18"/>
    <col min="25" max="25" width="8.85546875" style="18" customWidth="1"/>
    <col min="26" max="26" width="8.85546875" style="18" hidden="1" customWidth="1"/>
    <col min="27" max="27" width="2.28515625" style="18" hidden="1" customWidth="1"/>
    <col min="28" max="28" width="11" style="18" hidden="1" customWidth="1"/>
    <col min="29" max="29" width="2.28515625" style="18" hidden="1" customWidth="1"/>
    <col min="30" max="30" width="11" style="18" hidden="1" customWidth="1"/>
    <col min="31" max="31" width="2.28515625" style="18" hidden="1" customWidth="1"/>
    <col min="32" max="32" width="11" style="18" hidden="1" customWidth="1"/>
    <col min="33" max="33" width="2.28515625" style="18" hidden="1" customWidth="1"/>
    <col min="34" max="34" width="11" style="18" hidden="1" customWidth="1"/>
    <col min="35" max="35" width="8.85546875" style="18" customWidth="1"/>
    <col min="36" max="16384" width="8.85546875" style="18"/>
  </cols>
  <sheetData>
    <row r="1" spans="1:34" ht="60" customHeight="1" x14ac:dyDescent="0.25">
      <c r="A1" s="25" t="s">
        <v>218</v>
      </c>
      <c r="B1" s="9"/>
      <c r="C1" s="69"/>
      <c r="D1" s="80"/>
      <c r="E1" s="80"/>
      <c r="F1" s="80"/>
      <c r="G1" s="80"/>
      <c r="H1" s="80"/>
      <c r="I1" s="37"/>
      <c r="J1" s="37"/>
      <c r="K1" s="37"/>
      <c r="L1" s="37"/>
      <c r="M1" s="37"/>
      <c r="N1" s="37"/>
      <c r="O1" s="37"/>
      <c r="P1" s="37"/>
      <c r="Q1" s="37"/>
      <c r="R1" s="37"/>
      <c r="S1" s="37"/>
      <c r="T1" s="37"/>
      <c r="U1" s="37"/>
      <c r="V1" s="37"/>
      <c r="W1" s="37"/>
      <c r="X1" s="37"/>
      <c r="Y1" s="37"/>
      <c r="Z1" s="37"/>
      <c r="AA1" s="37"/>
      <c r="AB1" s="37"/>
      <c r="AC1" s="37"/>
      <c r="AD1" s="37"/>
      <c r="AE1" s="37"/>
      <c r="AF1" s="37"/>
      <c r="AG1" s="37"/>
      <c r="AH1" s="37"/>
    </row>
    <row r="2" spans="1:34" ht="15" customHeight="1" x14ac:dyDescent="0.25">
      <c r="A2" s="25" t="s">
        <v>219</v>
      </c>
      <c r="B2" s="9"/>
      <c r="C2" s="7" t="s">
        <v>56</v>
      </c>
      <c r="D2" s="8" t="s">
        <v>72</v>
      </c>
      <c r="E2" s="39"/>
      <c r="F2" s="7" t="s">
        <v>56</v>
      </c>
      <c r="G2" s="7" t="s">
        <v>257</v>
      </c>
      <c r="H2" s="8" t="s">
        <v>72</v>
      </c>
      <c r="I2" s="37"/>
      <c r="J2" s="37"/>
      <c r="K2" s="37"/>
      <c r="L2" s="37"/>
      <c r="M2" s="37"/>
      <c r="N2" s="37"/>
      <c r="O2" s="37"/>
      <c r="P2" s="37"/>
      <c r="Q2" s="37"/>
      <c r="R2" s="37"/>
      <c r="S2" s="37"/>
      <c r="T2" s="37"/>
      <c r="U2" s="37"/>
      <c r="V2" s="37"/>
      <c r="W2" s="37"/>
      <c r="X2" s="37"/>
      <c r="Y2" s="37"/>
      <c r="Z2" s="7" t="s">
        <v>56</v>
      </c>
      <c r="AA2" s="37"/>
      <c r="AB2" s="7" t="s">
        <v>57</v>
      </c>
      <c r="AC2" s="37"/>
      <c r="AD2" s="7" t="s">
        <v>58</v>
      </c>
      <c r="AE2" s="37"/>
      <c r="AF2" s="7" t="s">
        <v>59</v>
      </c>
      <c r="AG2" s="37"/>
      <c r="AH2" s="7" t="s">
        <v>60</v>
      </c>
    </row>
    <row r="3" spans="1:34" ht="15" customHeight="1" x14ac:dyDescent="0.25">
      <c r="A3" s="25" t="s">
        <v>220</v>
      </c>
      <c r="B3" s="9"/>
      <c r="C3" s="104" t="s">
        <v>57</v>
      </c>
      <c r="D3" s="105">
        <v>50</v>
      </c>
      <c r="E3" s="39"/>
      <c r="F3" s="104" t="s">
        <v>57</v>
      </c>
      <c r="G3" s="104" t="s">
        <v>258</v>
      </c>
      <c r="H3" s="105">
        <v>50</v>
      </c>
      <c r="I3" s="37"/>
      <c r="J3" s="37"/>
      <c r="K3" s="37"/>
      <c r="L3" s="37"/>
      <c r="M3" s="37"/>
      <c r="N3" s="37"/>
      <c r="O3" s="37"/>
      <c r="P3" s="37"/>
      <c r="Q3" s="37"/>
      <c r="R3" s="37"/>
      <c r="S3" s="37"/>
      <c r="T3" s="37"/>
      <c r="U3" s="37"/>
      <c r="V3" s="37"/>
      <c r="W3" s="37"/>
      <c r="X3" s="37"/>
      <c r="Y3" s="37"/>
      <c r="Z3" s="40" t="s">
        <v>57</v>
      </c>
      <c r="AA3" s="37"/>
      <c r="AB3" s="40" t="s">
        <v>258</v>
      </c>
      <c r="AC3" s="37"/>
      <c r="AD3" s="40" t="s">
        <v>259</v>
      </c>
      <c r="AE3" s="37"/>
      <c r="AF3" s="40" t="s">
        <v>260</v>
      </c>
      <c r="AG3" s="37"/>
      <c r="AH3" s="40" t="s">
        <v>261</v>
      </c>
    </row>
    <row r="4" spans="1:34" ht="15" customHeight="1" x14ac:dyDescent="0.25">
      <c r="A4" s="25">
        <f>SUMIF(C3:C14,C17,D3:D14)</f>
        <v>150</v>
      </c>
      <c r="B4" s="9"/>
      <c r="C4" s="104" t="s">
        <v>58</v>
      </c>
      <c r="D4" s="105">
        <v>20</v>
      </c>
      <c r="E4" s="39"/>
      <c r="F4" s="104" t="s">
        <v>58</v>
      </c>
      <c r="G4" s="104" t="s">
        <v>259</v>
      </c>
      <c r="H4" s="105">
        <v>20</v>
      </c>
      <c r="I4" s="37"/>
      <c r="J4" s="5"/>
      <c r="K4" s="5"/>
      <c r="L4" s="5"/>
      <c r="M4" s="5"/>
      <c r="N4" s="5"/>
      <c r="O4" s="37"/>
      <c r="P4" s="37"/>
      <c r="Q4" s="37"/>
      <c r="R4" s="37"/>
      <c r="S4" s="37"/>
      <c r="T4" s="37"/>
      <c r="U4" s="37"/>
      <c r="V4" s="37"/>
      <c r="W4" s="37"/>
      <c r="X4" s="37"/>
      <c r="Y4" s="37"/>
      <c r="Z4" s="40" t="s">
        <v>58</v>
      </c>
      <c r="AA4" s="37"/>
      <c r="AB4" s="40" t="s">
        <v>262</v>
      </c>
      <c r="AC4" s="37"/>
      <c r="AD4" s="40" t="s">
        <v>263</v>
      </c>
      <c r="AE4" s="37"/>
      <c r="AF4" s="40" t="s">
        <v>264</v>
      </c>
      <c r="AG4" s="37"/>
      <c r="AH4" s="40" t="s">
        <v>265</v>
      </c>
    </row>
    <row r="5" spans="1:34" s="20" customFormat="1" ht="15" customHeight="1" x14ac:dyDescent="0.3">
      <c r="A5" s="25" t="s">
        <v>221</v>
      </c>
      <c r="B5" s="38"/>
      <c r="C5" s="104" t="s">
        <v>59</v>
      </c>
      <c r="D5" s="105">
        <v>60</v>
      </c>
      <c r="E5" s="39"/>
      <c r="F5" s="104" t="s">
        <v>59</v>
      </c>
      <c r="G5" s="104" t="s">
        <v>260</v>
      </c>
      <c r="H5" s="105">
        <v>60</v>
      </c>
      <c r="I5" s="37"/>
      <c r="J5" s="5"/>
      <c r="K5" s="19"/>
      <c r="L5" s="5"/>
      <c r="M5" s="5"/>
      <c r="N5" s="5"/>
      <c r="O5" s="37"/>
      <c r="P5" s="37"/>
      <c r="Q5" s="38"/>
      <c r="R5" s="38"/>
      <c r="S5" s="38"/>
      <c r="T5" s="38"/>
      <c r="U5" s="38"/>
      <c r="V5" s="38"/>
      <c r="W5" s="38"/>
      <c r="X5" s="38"/>
      <c r="Y5" s="38"/>
      <c r="Z5" s="40" t="s">
        <v>59</v>
      </c>
      <c r="AA5" s="38"/>
      <c r="AB5" s="38"/>
      <c r="AC5" s="38"/>
      <c r="AD5" s="38"/>
      <c r="AE5" s="38"/>
      <c r="AF5" s="38"/>
      <c r="AG5" s="38"/>
      <c r="AH5" s="38"/>
    </row>
    <row r="6" spans="1:34" s="20" customFormat="1" ht="15" customHeight="1" x14ac:dyDescent="0.25">
      <c r="A6" s="25" t="s">
        <v>222</v>
      </c>
      <c r="B6" s="38"/>
      <c r="C6" s="104" t="s">
        <v>60</v>
      </c>
      <c r="D6" s="105">
        <v>40</v>
      </c>
      <c r="E6" s="39"/>
      <c r="F6" s="104" t="s">
        <v>60</v>
      </c>
      <c r="G6" s="104" t="s">
        <v>261</v>
      </c>
      <c r="H6" s="105">
        <v>40</v>
      </c>
      <c r="I6" s="37"/>
      <c r="J6" s="37"/>
      <c r="K6" s="37"/>
      <c r="L6" s="37"/>
      <c r="M6" s="37"/>
      <c r="N6" s="5"/>
      <c r="O6" s="37"/>
      <c r="P6" s="37"/>
      <c r="Q6" s="38"/>
      <c r="R6" s="38"/>
      <c r="S6" s="38"/>
      <c r="T6" s="38"/>
      <c r="U6" s="38"/>
      <c r="V6" s="38"/>
      <c r="W6" s="38"/>
      <c r="X6" s="38"/>
      <c r="Y6" s="38"/>
      <c r="Z6" s="40" t="s">
        <v>60</v>
      </c>
      <c r="AA6" s="38"/>
      <c r="AB6" s="38"/>
      <c r="AC6" s="38"/>
      <c r="AD6" s="38"/>
      <c r="AE6" s="38"/>
      <c r="AF6" s="38"/>
      <c r="AG6" s="38"/>
      <c r="AH6" s="38"/>
    </row>
    <row r="7" spans="1:34" s="20" customFormat="1" ht="15" customHeight="1" x14ac:dyDescent="0.25">
      <c r="A7" s="25" t="s">
        <v>223</v>
      </c>
      <c r="B7" s="38"/>
      <c r="C7" s="104" t="s">
        <v>57</v>
      </c>
      <c r="D7" s="105">
        <v>50</v>
      </c>
      <c r="E7" s="39"/>
      <c r="F7" s="104" t="s">
        <v>57</v>
      </c>
      <c r="G7" s="104" t="s">
        <v>262</v>
      </c>
      <c r="H7" s="105">
        <v>50</v>
      </c>
      <c r="I7" s="38"/>
      <c r="J7" s="38"/>
      <c r="K7" s="38"/>
      <c r="L7" s="38"/>
      <c r="M7" s="38"/>
      <c r="N7" s="5"/>
      <c r="O7" s="38"/>
      <c r="P7" s="38"/>
      <c r="Q7" s="38"/>
      <c r="R7" s="38"/>
      <c r="S7" s="38"/>
      <c r="T7" s="38"/>
      <c r="U7" s="38"/>
      <c r="V7" s="38"/>
      <c r="W7" s="38"/>
      <c r="X7" s="38"/>
      <c r="Y7" s="38"/>
      <c r="Z7" s="38"/>
      <c r="AA7" s="38"/>
      <c r="AB7" s="38"/>
      <c r="AC7" s="38"/>
      <c r="AD7" s="38"/>
      <c r="AE7" s="38"/>
      <c r="AF7" s="38"/>
      <c r="AG7" s="38"/>
      <c r="AH7" s="38"/>
    </row>
    <row r="8" spans="1:34" s="20" customFormat="1" ht="15" customHeight="1" x14ac:dyDescent="0.25">
      <c r="A8" s="25" t="s">
        <v>224</v>
      </c>
      <c r="B8" s="38"/>
      <c r="C8" s="104" t="s">
        <v>58</v>
      </c>
      <c r="D8" s="105">
        <v>20</v>
      </c>
      <c r="E8" s="39"/>
      <c r="F8" s="104" t="s">
        <v>58</v>
      </c>
      <c r="G8" s="104" t="s">
        <v>263</v>
      </c>
      <c r="H8" s="105">
        <v>20</v>
      </c>
      <c r="I8" s="38"/>
      <c r="J8" s="38"/>
      <c r="K8" s="38"/>
      <c r="L8" s="38"/>
      <c r="M8" s="38"/>
      <c r="N8" s="5"/>
      <c r="O8" s="38"/>
      <c r="P8" s="38"/>
      <c r="Q8" s="38"/>
      <c r="R8" s="38"/>
      <c r="S8" s="38"/>
      <c r="T8" s="38"/>
      <c r="U8" s="38"/>
      <c r="V8" s="38"/>
      <c r="W8" s="38"/>
      <c r="X8" s="38"/>
      <c r="Y8" s="38"/>
      <c r="Z8" s="38"/>
      <c r="AA8" s="38"/>
      <c r="AB8" s="38"/>
      <c r="AC8" s="38"/>
      <c r="AD8" s="38"/>
      <c r="AE8" s="38"/>
      <c r="AF8" s="38"/>
      <c r="AG8" s="38"/>
      <c r="AH8" s="38"/>
    </row>
    <row r="9" spans="1:34" s="20" customFormat="1" ht="15" customHeight="1" x14ac:dyDescent="0.25">
      <c r="A9" s="25" t="s">
        <v>225</v>
      </c>
      <c r="B9" s="38"/>
      <c r="C9" s="104" t="s">
        <v>59</v>
      </c>
      <c r="D9" s="105">
        <v>60</v>
      </c>
      <c r="E9" s="39"/>
      <c r="F9" s="104" t="s">
        <v>59</v>
      </c>
      <c r="G9" s="104" t="s">
        <v>264</v>
      </c>
      <c r="H9" s="105">
        <v>60</v>
      </c>
      <c r="I9" s="38"/>
      <c r="J9" s="38"/>
      <c r="K9" s="38"/>
      <c r="L9" s="38"/>
      <c r="M9" s="38"/>
      <c r="N9" s="5"/>
      <c r="O9" s="38"/>
      <c r="P9" s="38"/>
      <c r="Q9" s="38"/>
      <c r="R9" s="38"/>
      <c r="S9" s="38"/>
      <c r="T9" s="38"/>
      <c r="U9" s="38"/>
      <c r="V9" s="38"/>
      <c r="W9" s="38"/>
      <c r="X9" s="38"/>
      <c r="Y9" s="38"/>
      <c r="Z9" s="38"/>
      <c r="AA9" s="38"/>
      <c r="AB9" s="38"/>
      <c r="AC9" s="38"/>
      <c r="AD9" s="38"/>
      <c r="AE9" s="38"/>
      <c r="AF9" s="38"/>
      <c r="AG9" s="38"/>
      <c r="AH9" s="38"/>
    </row>
    <row r="10" spans="1:34" s="20" customFormat="1" ht="15" customHeight="1" x14ac:dyDescent="0.25">
      <c r="A10" s="25" t="s">
        <v>226</v>
      </c>
      <c r="B10" s="38"/>
      <c r="C10" s="104" t="s">
        <v>60</v>
      </c>
      <c r="D10" s="105">
        <v>40</v>
      </c>
      <c r="E10" s="39"/>
      <c r="F10" s="104" t="s">
        <v>60</v>
      </c>
      <c r="G10" s="104" t="s">
        <v>265</v>
      </c>
      <c r="H10" s="105">
        <v>40</v>
      </c>
      <c r="I10" s="38"/>
      <c r="J10" s="5"/>
      <c r="K10" s="5"/>
      <c r="L10" s="5"/>
      <c r="M10" s="5"/>
      <c r="N10" s="5"/>
      <c r="O10" s="38"/>
      <c r="P10" s="38"/>
      <c r="Q10" s="38"/>
      <c r="R10" s="38"/>
      <c r="S10" s="38"/>
      <c r="T10" s="38"/>
      <c r="U10" s="38"/>
      <c r="V10" s="38"/>
      <c r="W10" s="38"/>
      <c r="X10" s="38"/>
      <c r="Y10" s="38"/>
      <c r="Z10" s="38"/>
      <c r="AA10" s="38"/>
      <c r="AB10" s="38"/>
      <c r="AC10" s="38"/>
      <c r="AD10" s="38"/>
      <c r="AE10" s="38"/>
      <c r="AF10" s="38"/>
      <c r="AG10" s="38"/>
      <c r="AH10" s="38"/>
    </row>
    <row r="11" spans="1:34" s="20" customFormat="1" ht="15" customHeight="1" x14ac:dyDescent="0.25">
      <c r="A11" s="25" t="s">
        <v>227</v>
      </c>
      <c r="B11" s="38"/>
      <c r="C11" s="104" t="s">
        <v>57</v>
      </c>
      <c r="D11" s="105">
        <v>50</v>
      </c>
      <c r="E11" s="39"/>
      <c r="F11" s="104" t="s">
        <v>57</v>
      </c>
      <c r="G11" s="104" t="s">
        <v>262</v>
      </c>
      <c r="H11" s="105">
        <v>50</v>
      </c>
      <c r="I11" s="38"/>
      <c r="J11" s="43"/>
      <c r="K11" s="10"/>
      <c r="L11" s="5"/>
      <c r="M11" s="5"/>
      <c r="N11" s="5"/>
      <c r="O11" s="38"/>
      <c r="P11" s="38"/>
      <c r="Q11" s="38"/>
      <c r="R11" s="38"/>
      <c r="S11" s="38"/>
      <c r="T11" s="38"/>
      <c r="U11" s="38"/>
      <c r="V11" s="38"/>
      <c r="W11" s="38"/>
      <c r="X11" s="38"/>
      <c r="Y11" s="38"/>
      <c r="Z11" s="38"/>
      <c r="AA11" s="38"/>
      <c r="AB11" s="38"/>
      <c r="AC11" s="38"/>
      <c r="AD11" s="38"/>
      <c r="AE11" s="38"/>
      <c r="AF11" s="38"/>
      <c r="AG11" s="38"/>
      <c r="AH11" s="38"/>
    </row>
    <row r="12" spans="1:34" s="20" customFormat="1" ht="15" customHeight="1" x14ac:dyDescent="0.25">
      <c r="A12" s="25" t="s">
        <v>228</v>
      </c>
      <c r="B12" s="38"/>
      <c r="C12" s="104" t="s">
        <v>58</v>
      </c>
      <c r="D12" s="105">
        <v>20</v>
      </c>
      <c r="E12" s="39"/>
      <c r="F12" s="104" t="s">
        <v>58</v>
      </c>
      <c r="G12" s="104" t="s">
        <v>263</v>
      </c>
      <c r="H12" s="105">
        <v>20</v>
      </c>
      <c r="I12" s="38"/>
      <c r="J12" s="43"/>
      <c r="K12" s="6"/>
      <c r="L12" s="5"/>
      <c r="M12" s="5"/>
      <c r="N12" s="5"/>
      <c r="O12" s="38"/>
      <c r="P12" s="38"/>
      <c r="Q12" s="38"/>
      <c r="R12" s="38"/>
      <c r="S12" s="38"/>
      <c r="T12" s="38"/>
      <c r="U12" s="38"/>
      <c r="V12" s="38"/>
      <c r="W12" s="38"/>
      <c r="X12" s="38"/>
      <c r="Y12" s="38"/>
      <c r="Z12" s="38"/>
      <c r="AA12" s="38"/>
      <c r="AB12" s="38"/>
      <c r="AC12" s="38"/>
      <c r="AD12" s="38"/>
      <c r="AE12" s="38"/>
      <c r="AF12" s="38"/>
      <c r="AG12" s="38"/>
      <c r="AH12" s="38"/>
    </row>
    <row r="13" spans="1:34" s="20" customFormat="1" ht="15" customHeight="1" x14ac:dyDescent="0.25">
      <c r="A13" s="27" t="s">
        <v>229</v>
      </c>
      <c r="B13" s="38"/>
      <c r="C13" s="104" t="s">
        <v>59</v>
      </c>
      <c r="D13" s="105">
        <v>60</v>
      </c>
      <c r="E13" s="39"/>
      <c r="F13" s="104" t="s">
        <v>59</v>
      </c>
      <c r="G13" s="104" t="s">
        <v>260</v>
      </c>
      <c r="H13" s="105">
        <v>60</v>
      </c>
      <c r="I13" s="38"/>
      <c r="J13" s="43"/>
      <c r="K13" s="6"/>
      <c r="L13" s="5"/>
      <c r="M13" s="5"/>
      <c r="N13" s="5"/>
      <c r="O13" s="38"/>
      <c r="P13" s="38"/>
      <c r="Q13" s="38"/>
      <c r="R13" s="38"/>
      <c r="S13" s="38"/>
      <c r="T13" s="38"/>
      <c r="U13" s="38"/>
      <c r="V13" s="38"/>
      <c r="W13" s="38"/>
      <c r="X13" s="38"/>
      <c r="Y13" s="38"/>
      <c r="Z13" s="38"/>
      <c r="AA13" s="38"/>
      <c r="AB13" s="38"/>
      <c r="AC13" s="38"/>
      <c r="AD13" s="38"/>
      <c r="AE13" s="38"/>
      <c r="AF13" s="38"/>
      <c r="AG13" s="38"/>
      <c r="AH13" s="38"/>
    </row>
    <row r="14" spans="1:34" s="20" customFormat="1" ht="15" customHeight="1" x14ac:dyDescent="0.25">
      <c r="A14" s="26" t="s">
        <v>230</v>
      </c>
      <c r="B14" s="38"/>
      <c r="C14" s="104" t="s">
        <v>60</v>
      </c>
      <c r="D14" s="105">
        <v>40</v>
      </c>
      <c r="E14" s="39"/>
      <c r="F14" s="104" t="s">
        <v>60</v>
      </c>
      <c r="G14" s="104" t="s">
        <v>265</v>
      </c>
      <c r="H14" s="105">
        <v>40</v>
      </c>
      <c r="I14" s="38"/>
      <c r="J14" s="43"/>
      <c r="K14" s="44"/>
      <c r="L14" s="5"/>
      <c r="M14" s="5"/>
      <c r="N14" s="5"/>
      <c r="O14" s="38"/>
      <c r="P14" s="38"/>
      <c r="Q14" s="38"/>
      <c r="R14" s="38"/>
      <c r="S14" s="38"/>
      <c r="T14" s="38"/>
      <c r="U14" s="38"/>
      <c r="V14" s="38"/>
      <c r="W14" s="38"/>
      <c r="X14" s="38"/>
      <c r="Y14" s="38"/>
      <c r="Z14" s="38"/>
      <c r="AA14" s="38"/>
      <c r="AB14" s="38"/>
      <c r="AC14" s="38"/>
      <c r="AD14" s="38"/>
      <c r="AE14" s="38"/>
      <c r="AF14" s="38"/>
      <c r="AG14" s="38"/>
      <c r="AH14" s="38"/>
    </row>
    <row r="15" spans="1:34" s="20" customFormat="1" ht="15" customHeight="1" x14ac:dyDescent="0.25">
      <c r="A15" s="27" t="s">
        <v>231</v>
      </c>
      <c r="B15" s="38"/>
      <c r="C15" s="21"/>
      <c r="D15" s="21"/>
      <c r="E15" s="21"/>
      <c r="F15" s="21"/>
      <c r="G15" s="21"/>
      <c r="H15" s="21"/>
      <c r="I15" s="38"/>
      <c r="J15" s="43"/>
      <c r="K15" s="45"/>
      <c r="L15" s="5"/>
      <c r="M15" s="5"/>
      <c r="N15" s="5"/>
      <c r="O15" s="38"/>
      <c r="P15" s="38"/>
      <c r="Q15" s="38"/>
      <c r="R15" s="38"/>
      <c r="S15" s="38"/>
      <c r="T15" s="38"/>
      <c r="U15" s="38"/>
      <c r="V15" s="38"/>
      <c r="W15" s="38"/>
      <c r="X15" s="38"/>
      <c r="Y15" s="38"/>
      <c r="Z15" s="38"/>
      <c r="AA15" s="38"/>
      <c r="AB15" s="38"/>
      <c r="AC15" s="38"/>
      <c r="AD15" s="38"/>
      <c r="AE15" s="38"/>
      <c r="AF15" s="38"/>
      <c r="AG15" s="38"/>
      <c r="AH15" s="38"/>
    </row>
    <row r="16" spans="1:34" s="20" customFormat="1" ht="15" customHeight="1" thickBot="1" x14ac:dyDescent="0.3">
      <c r="A16" s="25" t="s">
        <v>10</v>
      </c>
      <c r="B16" s="38"/>
      <c r="C16" s="38" t="s">
        <v>56</v>
      </c>
      <c r="D16" s="23" t="s">
        <v>255</v>
      </c>
      <c r="E16" s="39"/>
      <c r="F16" s="38" t="s">
        <v>56</v>
      </c>
      <c r="G16" s="38" t="s">
        <v>257</v>
      </c>
      <c r="H16" s="23" t="s">
        <v>267</v>
      </c>
      <c r="I16" s="38"/>
      <c r="J16" s="43"/>
      <c r="K16" s="10"/>
      <c r="L16" s="5"/>
      <c r="M16" s="5"/>
      <c r="N16" s="5"/>
      <c r="O16" s="38"/>
      <c r="P16" s="38"/>
      <c r="Q16" s="38"/>
      <c r="R16" s="38"/>
      <c r="S16" s="38"/>
      <c r="T16" s="38"/>
      <c r="U16" s="38"/>
      <c r="V16" s="38"/>
      <c r="W16" s="38"/>
      <c r="X16" s="38"/>
      <c r="Y16" s="38"/>
      <c r="Z16" s="38"/>
      <c r="AA16" s="38"/>
      <c r="AB16" s="38"/>
      <c r="AC16" s="38"/>
      <c r="AD16" s="38"/>
      <c r="AE16" s="38"/>
      <c r="AF16" s="38"/>
      <c r="AG16" s="38"/>
      <c r="AH16" s="38"/>
    </row>
    <row r="17" spans="1:34" s="20" customFormat="1" ht="15" customHeight="1" thickTop="1" thickBot="1" x14ac:dyDescent="0.3">
      <c r="A17" s="25" t="s">
        <v>11</v>
      </c>
      <c r="B17" s="38"/>
      <c r="C17" s="46" t="s">
        <v>57</v>
      </c>
      <c r="D17" s="47"/>
      <c r="E17" s="39"/>
      <c r="F17" s="46" t="s">
        <v>58</v>
      </c>
      <c r="G17" s="46" t="s">
        <v>259</v>
      </c>
      <c r="H17" s="42"/>
      <c r="I17" s="38"/>
      <c r="J17" s="48"/>
      <c r="K17" s="6"/>
      <c r="L17" s="5"/>
      <c r="M17" s="5"/>
      <c r="N17" s="5"/>
      <c r="O17" s="38"/>
      <c r="P17" s="38"/>
      <c r="Q17" s="38"/>
      <c r="R17" s="38"/>
      <c r="S17" s="38"/>
      <c r="T17" s="38"/>
      <c r="U17" s="38"/>
      <c r="V17" s="38"/>
      <c r="W17" s="38"/>
      <c r="X17" s="38"/>
      <c r="Y17" s="38"/>
      <c r="Z17" s="38"/>
      <c r="AA17" s="38"/>
      <c r="AB17" s="38"/>
      <c r="AC17" s="38"/>
      <c r="AD17" s="38"/>
      <c r="AE17" s="38"/>
      <c r="AF17" s="38"/>
      <c r="AG17" s="38"/>
      <c r="AH17" s="38"/>
    </row>
    <row r="18" spans="1:34" s="20" customFormat="1" ht="15" customHeight="1" thickTop="1" x14ac:dyDescent="0.25">
      <c r="A18" s="25" t="s">
        <v>232</v>
      </c>
      <c r="B18" s="38"/>
      <c r="C18" s="38"/>
      <c r="D18" s="38"/>
      <c r="E18" s="39"/>
      <c r="F18" s="38"/>
      <c r="G18" s="38"/>
      <c r="H18" s="38"/>
      <c r="I18" s="38"/>
      <c r="J18" s="43"/>
      <c r="K18" s="44"/>
      <c r="L18" s="5"/>
      <c r="M18" s="5"/>
      <c r="N18" s="5"/>
      <c r="O18" s="38"/>
      <c r="P18" s="38"/>
      <c r="Q18" s="38"/>
      <c r="R18" s="38"/>
      <c r="S18" s="38"/>
      <c r="T18" s="38"/>
      <c r="U18" s="38"/>
      <c r="V18" s="38"/>
      <c r="W18" s="38"/>
      <c r="X18" s="38"/>
      <c r="Y18" s="38"/>
      <c r="Z18" s="38"/>
      <c r="AA18" s="38"/>
      <c r="AB18" s="38"/>
      <c r="AC18" s="38"/>
      <c r="AD18" s="38"/>
      <c r="AE18" s="38"/>
      <c r="AF18" s="38"/>
      <c r="AG18" s="38"/>
      <c r="AH18" s="38"/>
    </row>
    <row r="19" spans="1:34" s="20" customFormat="1" ht="15" customHeight="1" x14ac:dyDescent="0.25">
      <c r="A19" s="25" t="s">
        <v>233</v>
      </c>
      <c r="B19" s="38"/>
      <c r="C19" s="1"/>
      <c r="D19" s="1"/>
      <c r="E19" s="1"/>
      <c r="F19" s="1"/>
      <c r="G19" s="1"/>
      <c r="H19" s="1"/>
      <c r="I19" s="38"/>
      <c r="J19" s="43"/>
      <c r="K19" s="45"/>
      <c r="L19" s="5"/>
      <c r="M19" s="5"/>
      <c r="N19" s="38"/>
      <c r="O19" s="38"/>
      <c r="P19" s="38"/>
      <c r="Q19" s="38"/>
      <c r="R19" s="38"/>
      <c r="S19" s="38"/>
      <c r="T19" s="38"/>
      <c r="U19" s="38"/>
      <c r="V19" s="38"/>
      <c r="W19" s="38"/>
      <c r="X19" s="38"/>
      <c r="Y19" s="38"/>
      <c r="Z19" s="38"/>
      <c r="AA19" s="38"/>
      <c r="AB19" s="38"/>
      <c r="AC19" s="38"/>
      <c r="AD19" s="38"/>
      <c r="AE19" s="38"/>
      <c r="AF19" s="38"/>
      <c r="AG19" s="38"/>
      <c r="AH19" s="38"/>
    </row>
    <row r="20" spans="1:34" s="20" customFormat="1" ht="15" customHeight="1" x14ac:dyDescent="0.25">
      <c r="A20" s="25" t="s">
        <v>234</v>
      </c>
      <c r="B20" s="38"/>
      <c r="C20" s="1"/>
      <c r="D20" s="1"/>
      <c r="E20" s="1"/>
      <c r="F20" s="1"/>
      <c r="G20" s="1"/>
      <c r="H20" s="1"/>
      <c r="I20" s="38"/>
      <c r="J20" s="48"/>
      <c r="K20" s="10"/>
      <c r="L20" s="38"/>
      <c r="M20" s="5"/>
      <c r="N20" s="38"/>
      <c r="O20" s="38"/>
      <c r="P20" s="38"/>
      <c r="Q20" s="38"/>
      <c r="R20" s="38"/>
      <c r="S20" s="38"/>
      <c r="T20" s="38"/>
      <c r="U20" s="38"/>
      <c r="V20" s="38"/>
      <c r="W20" s="38"/>
      <c r="X20" s="38"/>
      <c r="Y20" s="38"/>
      <c r="Z20" s="38"/>
      <c r="AA20" s="38"/>
      <c r="AB20" s="38"/>
      <c r="AC20" s="38"/>
      <c r="AD20" s="38"/>
      <c r="AE20" s="38"/>
      <c r="AF20" s="38"/>
      <c r="AG20" s="38"/>
      <c r="AH20" s="38"/>
    </row>
    <row r="21" spans="1:34" s="20" customFormat="1" ht="15" customHeight="1" x14ac:dyDescent="0.25">
      <c r="A21" s="25" t="s">
        <v>235</v>
      </c>
      <c r="B21" s="38"/>
      <c r="C21" s="1"/>
      <c r="D21" s="1"/>
      <c r="E21" s="1"/>
      <c r="F21" s="1"/>
      <c r="G21" s="1"/>
      <c r="H21" s="1"/>
      <c r="I21" s="38"/>
      <c r="J21" s="48"/>
      <c r="K21" s="6"/>
      <c r="L21" s="38"/>
      <c r="M21" s="5"/>
      <c r="N21" s="38"/>
      <c r="O21" s="38"/>
      <c r="P21" s="38"/>
      <c r="Q21" s="38"/>
      <c r="R21" s="38"/>
      <c r="S21" s="38"/>
      <c r="T21" s="38"/>
      <c r="U21" s="38"/>
      <c r="V21" s="38"/>
      <c r="W21" s="38"/>
      <c r="X21" s="38"/>
      <c r="Y21" s="38"/>
      <c r="Z21" s="38"/>
      <c r="AA21" s="38"/>
      <c r="AB21" s="38"/>
      <c r="AC21" s="38"/>
      <c r="AD21" s="38"/>
      <c r="AE21" s="38"/>
      <c r="AF21" s="38"/>
      <c r="AG21" s="38"/>
      <c r="AH21" s="38"/>
    </row>
    <row r="22" spans="1:34" s="20" customFormat="1" ht="15" customHeight="1" x14ac:dyDescent="0.25">
      <c r="A22" s="25" t="s">
        <v>221</v>
      </c>
      <c r="B22" s="38"/>
      <c r="C22" s="1"/>
      <c r="D22" s="1"/>
      <c r="E22" s="1"/>
      <c r="F22" s="1"/>
      <c r="G22" s="1"/>
      <c r="H22" s="1"/>
      <c r="I22" s="38"/>
      <c r="J22" s="37"/>
      <c r="K22" s="6"/>
      <c r="L22" s="49"/>
      <c r="M22" s="5"/>
      <c r="N22" s="38"/>
      <c r="O22" s="38"/>
      <c r="P22" s="38"/>
      <c r="Q22" s="38"/>
      <c r="R22" s="38"/>
      <c r="S22" s="38"/>
      <c r="T22" s="38"/>
      <c r="U22" s="38"/>
      <c r="V22" s="38"/>
      <c r="W22" s="38"/>
      <c r="X22" s="38"/>
      <c r="Y22" s="38"/>
      <c r="Z22" s="38"/>
      <c r="AA22" s="38"/>
      <c r="AB22" s="38"/>
      <c r="AC22" s="38"/>
      <c r="AD22" s="38"/>
      <c r="AE22" s="38"/>
      <c r="AF22" s="38"/>
      <c r="AG22" s="38"/>
      <c r="AH22" s="38"/>
    </row>
    <row r="23" spans="1:34" s="20" customFormat="1" ht="15" customHeight="1" x14ac:dyDescent="0.25">
      <c r="A23" s="25" t="s">
        <v>222</v>
      </c>
      <c r="B23" s="38"/>
      <c r="C23" s="1"/>
      <c r="D23" s="1"/>
      <c r="E23" s="1"/>
      <c r="F23" s="1"/>
      <c r="G23" s="1"/>
      <c r="H23" s="1"/>
      <c r="I23" s="38"/>
      <c r="J23" s="37"/>
      <c r="K23" s="50"/>
      <c r="L23" s="49"/>
      <c r="M23" s="5"/>
      <c r="N23" s="38"/>
      <c r="O23" s="38"/>
      <c r="P23" s="38"/>
      <c r="Q23" s="38"/>
      <c r="R23" s="38"/>
      <c r="S23" s="38"/>
      <c r="T23" s="38"/>
      <c r="U23" s="38"/>
      <c r="V23" s="38"/>
      <c r="W23" s="38"/>
      <c r="X23" s="38"/>
      <c r="Y23" s="38"/>
      <c r="Z23" s="38"/>
      <c r="AA23" s="38"/>
      <c r="AB23" s="38"/>
      <c r="AC23" s="38"/>
      <c r="AD23" s="38"/>
      <c r="AE23" s="38"/>
      <c r="AF23" s="38"/>
      <c r="AG23" s="38"/>
      <c r="AH23" s="38"/>
    </row>
    <row r="24" spans="1:34" s="20" customFormat="1" ht="15" customHeight="1" x14ac:dyDescent="0.25">
      <c r="A24" s="27" t="s">
        <v>236</v>
      </c>
      <c r="B24" s="38"/>
      <c r="C24" s="1"/>
      <c r="D24" s="1"/>
      <c r="E24" s="1"/>
      <c r="F24" s="1"/>
      <c r="G24" s="1"/>
      <c r="H24" s="1"/>
      <c r="I24" s="38"/>
      <c r="J24" s="37"/>
      <c r="K24" s="38"/>
      <c r="L24" s="49"/>
      <c r="M24" s="5"/>
      <c r="N24" s="38"/>
      <c r="O24" s="38"/>
      <c r="P24" s="38"/>
      <c r="Q24" s="38"/>
      <c r="R24" s="38"/>
      <c r="S24" s="38"/>
      <c r="T24" s="38"/>
      <c r="U24" s="38"/>
      <c r="V24" s="38"/>
      <c r="W24" s="38"/>
      <c r="X24" s="38"/>
      <c r="Y24" s="38"/>
      <c r="Z24" s="38"/>
      <c r="AA24" s="38"/>
      <c r="AB24" s="38"/>
      <c r="AC24" s="38"/>
      <c r="AD24" s="38"/>
      <c r="AE24" s="38"/>
      <c r="AF24" s="38"/>
      <c r="AG24" s="38"/>
      <c r="AH24" s="37"/>
    </row>
    <row r="25" spans="1:34" s="20" customFormat="1" ht="15" customHeight="1" x14ac:dyDescent="0.25">
      <c r="A25" s="25" t="s">
        <v>237</v>
      </c>
      <c r="B25" s="38"/>
      <c r="C25" s="1"/>
      <c r="D25" s="1"/>
      <c r="E25" s="1"/>
      <c r="F25" s="1"/>
      <c r="G25" s="1"/>
      <c r="H25" s="1"/>
      <c r="I25" s="38"/>
      <c r="J25" s="37"/>
      <c r="K25" s="38"/>
      <c r="L25" s="49"/>
      <c r="M25" s="5"/>
      <c r="N25" s="38"/>
      <c r="O25" s="38"/>
      <c r="P25" s="38"/>
      <c r="Q25" s="38"/>
      <c r="R25" s="38"/>
      <c r="S25" s="38"/>
      <c r="T25" s="38"/>
      <c r="U25" s="38"/>
      <c r="V25" s="38"/>
      <c r="W25" s="38"/>
      <c r="X25" s="38"/>
      <c r="Y25" s="38"/>
      <c r="Z25" s="38"/>
      <c r="AA25" s="38"/>
      <c r="AB25" s="38"/>
      <c r="AC25" s="38"/>
      <c r="AD25" s="38"/>
      <c r="AE25" s="38"/>
      <c r="AF25" s="38"/>
      <c r="AG25" s="38"/>
      <c r="AH25" s="37"/>
    </row>
    <row r="26" spans="1:34" s="20" customFormat="1" ht="15" customHeight="1" x14ac:dyDescent="0.25">
      <c r="A26" s="25" t="s">
        <v>238</v>
      </c>
      <c r="B26" s="38"/>
      <c r="C26" s="1"/>
      <c r="D26" s="1"/>
      <c r="E26" s="1"/>
      <c r="F26" s="1"/>
      <c r="G26" s="1"/>
      <c r="H26" s="1"/>
      <c r="I26" s="38"/>
      <c r="J26" s="37"/>
      <c r="K26" s="38"/>
      <c r="L26" s="49"/>
      <c r="M26" s="5"/>
      <c r="N26" s="38"/>
      <c r="O26" s="38"/>
      <c r="P26" s="38"/>
      <c r="Q26" s="38"/>
      <c r="R26" s="38"/>
      <c r="S26" s="38"/>
      <c r="T26" s="38"/>
      <c r="U26" s="38"/>
      <c r="V26" s="38"/>
      <c r="W26" s="38"/>
      <c r="X26" s="38"/>
      <c r="Y26" s="38"/>
      <c r="Z26" s="38"/>
      <c r="AA26" s="38"/>
      <c r="AB26" s="38"/>
      <c r="AC26" s="38"/>
      <c r="AD26" s="38"/>
      <c r="AE26" s="38"/>
      <c r="AF26" s="38"/>
      <c r="AG26" s="38"/>
      <c r="AH26" s="37"/>
    </row>
    <row r="27" spans="1:34" s="20" customFormat="1" ht="15" customHeight="1" x14ac:dyDescent="0.25">
      <c r="A27" s="25" t="s">
        <v>228</v>
      </c>
      <c r="B27" s="38"/>
      <c r="C27" s="1"/>
      <c r="D27" s="1"/>
      <c r="E27" s="1"/>
      <c r="F27" s="1"/>
      <c r="G27" s="1"/>
      <c r="H27" s="1"/>
      <c r="I27" s="38"/>
      <c r="J27" s="37"/>
      <c r="K27" s="38"/>
      <c r="L27" s="49"/>
      <c r="M27" s="5"/>
      <c r="N27" s="38"/>
      <c r="O27" s="38"/>
      <c r="P27" s="38"/>
      <c r="Q27" s="38"/>
      <c r="R27" s="38"/>
      <c r="S27" s="38"/>
      <c r="T27" s="38"/>
      <c r="U27" s="38"/>
      <c r="V27" s="38"/>
      <c r="W27" s="38"/>
      <c r="X27" s="38"/>
      <c r="Y27" s="38"/>
      <c r="Z27" s="38"/>
      <c r="AA27" s="38"/>
      <c r="AB27" s="38"/>
      <c r="AC27" s="38"/>
      <c r="AD27" s="38"/>
      <c r="AE27" s="38"/>
      <c r="AF27" s="38"/>
      <c r="AG27" s="38"/>
      <c r="AH27" s="37"/>
    </row>
    <row r="28" spans="1:34" s="20" customFormat="1" ht="15" customHeight="1" x14ac:dyDescent="0.25">
      <c r="A28" s="25" t="s">
        <v>239</v>
      </c>
      <c r="B28" s="38"/>
      <c r="C28" s="1"/>
      <c r="D28" s="1"/>
      <c r="E28" s="1"/>
      <c r="F28" s="1"/>
      <c r="G28" s="1"/>
      <c r="H28" s="1"/>
      <c r="I28" s="38"/>
      <c r="J28" s="37"/>
      <c r="K28" s="38"/>
      <c r="L28" s="49"/>
      <c r="M28" s="38"/>
      <c r="N28" s="38"/>
      <c r="O28" s="38"/>
      <c r="P28" s="38"/>
      <c r="Q28" s="38"/>
      <c r="R28" s="38"/>
      <c r="S28" s="38"/>
      <c r="T28" s="38"/>
      <c r="U28" s="38"/>
      <c r="V28" s="38"/>
      <c r="W28" s="38"/>
      <c r="X28" s="38"/>
      <c r="Y28" s="38"/>
      <c r="Z28" s="38"/>
      <c r="AA28" s="38"/>
      <c r="AB28" s="38"/>
      <c r="AC28" s="38"/>
      <c r="AD28" s="38"/>
      <c r="AE28" s="38"/>
      <c r="AF28" s="38"/>
      <c r="AG28" s="38"/>
      <c r="AH28" s="37"/>
    </row>
    <row r="29" spans="1:34" s="20" customFormat="1" ht="15" customHeight="1" x14ac:dyDescent="0.25">
      <c r="A29" s="25" t="s">
        <v>230</v>
      </c>
      <c r="B29" s="38"/>
      <c r="C29" s="1"/>
      <c r="D29" s="1"/>
      <c r="E29" s="1"/>
      <c r="F29" s="1"/>
      <c r="G29" s="1"/>
      <c r="H29" s="1"/>
      <c r="I29" s="38"/>
      <c r="J29" s="37"/>
      <c r="K29" s="38"/>
      <c r="L29" s="49"/>
      <c r="M29" s="38"/>
      <c r="N29" s="38"/>
      <c r="O29" s="38"/>
      <c r="P29" s="38"/>
      <c r="Q29" s="38"/>
      <c r="R29" s="38"/>
      <c r="S29" s="38"/>
      <c r="T29" s="38"/>
      <c r="U29" s="38"/>
      <c r="V29" s="38"/>
      <c r="W29" s="38"/>
      <c r="X29" s="38"/>
      <c r="Y29" s="38"/>
      <c r="Z29" s="38"/>
      <c r="AA29" s="38"/>
      <c r="AB29" s="38"/>
      <c r="AC29" s="38"/>
      <c r="AD29" s="38"/>
      <c r="AE29" s="38"/>
      <c r="AF29" s="38"/>
      <c r="AG29" s="38"/>
      <c r="AH29" s="37"/>
    </row>
    <row r="30" spans="1:34" s="20" customFormat="1" ht="15" customHeight="1" x14ac:dyDescent="0.25">
      <c r="A30" s="25" t="s">
        <v>10</v>
      </c>
      <c r="B30" s="38"/>
      <c r="C30" s="1"/>
      <c r="D30" s="1"/>
      <c r="E30" s="1"/>
      <c r="F30" s="1"/>
      <c r="G30" s="1"/>
      <c r="H30" s="1"/>
      <c r="I30" s="38"/>
      <c r="J30" s="38"/>
      <c r="K30" s="38"/>
      <c r="L30" s="38"/>
      <c r="M30" s="38"/>
      <c r="N30" s="38"/>
      <c r="O30" s="38"/>
      <c r="P30" s="38"/>
      <c r="Q30" s="38"/>
      <c r="R30" s="38"/>
      <c r="S30" s="38"/>
      <c r="T30" s="38"/>
      <c r="U30" s="38"/>
      <c r="V30" s="38"/>
      <c r="W30" s="38"/>
      <c r="X30" s="38"/>
      <c r="Y30" s="38"/>
      <c r="Z30" s="38"/>
      <c r="AA30" s="38"/>
      <c r="AB30" s="37"/>
      <c r="AC30" s="38"/>
      <c r="AD30" s="37"/>
      <c r="AE30" s="38"/>
      <c r="AF30" s="38"/>
      <c r="AG30" s="38"/>
      <c r="AH30" s="37"/>
    </row>
    <row r="31" spans="1:34" s="20" customFormat="1" ht="15" customHeight="1" x14ac:dyDescent="0.25">
      <c r="A31" s="25" t="s">
        <v>23</v>
      </c>
      <c r="B31" s="38"/>
      <c r="C31" s="1"/>
      <c r="D31" s="1"/>
      <c r="E31" s="1"/>
      <c r="F31" s="1"/>
      <c r="G31" s="1"/>
      <c r="H31" s="1"/>
      <c r="I31" s="38"/>
      <c r="J31" s="38"/>
      <c r="K31" s="38"/>
      <c r="L31" s="38"/>
      <c r="M31" s="38"/>
      <c r="N31" s="5"/>
      <c r="O31" s="38"/>
      <c r="P31" s="38"/>
      <c r="Q31" s="38"/>
      <c r="R31" s="38"/>
      <c r="S31" s="38"/>
      <c r="T31" s="38"/>
      <c r="U31" s="38"/>
      <c r="V31" s="38"/>
      <c r="W31" s="38"/>
      <c r="X31" s="38"/>
      <c r="Y31" s="38"/>
      <c r="Z31" s="38"/>
      <c r="AA31" s="38"/>
      <c r="AB31" s="37"/>
      <c r="AC31" s="38"/>
      <c r="AD31" s="37"/>
      <c r="AE31" s="38"/>
      <c r="AF31" s="38"/>
      <c r="AG31" s="38"/>
      <c r="AH31" s="37"/>
    </row>
    <row r="32" spans="1:34" s="20" customFormat="1" ht="15" customHeight="1" x14ac:dyDescent="0.25">
      <c r="A32" s="24" t="s">
        <v>240</v>
      </c>
      <c r="B32" s="38"/>
      <c r="C32" s="1"/>
      <c r="D32" s="1"/>
      <c r="E32" s="1"/>
      <c r="F32" s="1"/>
      <c r="G32" s="1"/>
      <c r="H32" s="1"/>
      <c r="I32" s="38"/>
      <c r="J32" s="38"/>
      <c r="K32" s="38"/>
      <c r="L32" s="38"/>
      <c r="M32" s="38"/>
      <c r="N32" s="5"/>
      <c r="O32" s="38"/>
      <c r="P32" s="38"/>
      <c r="Q32" s="38"/>
      <c r="R32" s="38"/>
      <c r="S32" s="38"/>
      <c r="T32" s="38"/>
      <c r="U32" s="38"/>
      <c r="V32" s="38"/>
      <c r="W32" s="38"/>
      <c r="X32" s="38"/>
      <c r="Y32" s="38"/>
      <c r="Z32" s="38"/>
      <c r="AA32" s="38"/>
      <c r="AB32" s="37"/>
      <c r="AC32" s="38"/>
      <c r="AD32" s="37"/>
      <c r="AE32" s="38"/>
      <c r="AF32" s="38"/>
      <c r="AG32" s="38"/>
      <c r="AH32" s="37"/>
    </row>
    <row r="33" spans="1:34" s="20" customFormat="1" ht="15" customHeight="1" x14ac:dyDescent="0.25">
      <c r="A33" s="87" t="s">
        <v>299</v>
      </c>
      <c r="B33" s="38"/>
      <c r="C33" s="1"/>
      <c r="D33" s="1"/>
      <c r="E33" s="1"/>
      <c r="F33" s="1"/>
      <c r="G33" s="1"/>
      <c r="H33" s="1"/>
      <c r="I33" s="38"/>
      <c r="J33" s="38"/>
      <c r="K33" s="38"/>
      <c r="L33" s="38"/>
      <c r="M33" s="38"/>
      <c r="N33" s="38"/>
      <c r="O33" s="38"/>
      <c r="P33" s="38"/>
      <c r="Q33" s="38"/>
      <c r="R33" s="38"/>
      <c r="S33" s="38"/>
      <c r="T33" s="38"/>
      <c r="U33" s="38"/>
      <c r="V33" s="38"/>
      <c r="W33" s="38"/>
      <c r="X33" s="38"/>
      <c r="Y33" s="38"/>
      <c r="Z33" s="38"/>
      <c r="AA33" s="38"/>
      <c r="AB33" s="37"/>
      <c r="AC33" s="38"/>
      <c r="AD33" s="37"/>
      <c r="AE33" s="38"/>
      <c r="AF33" s="38"/>
      <c r="AG33" s="38"/>
      <c r="AH33" s="37"/>
    </row>
    <row r="34" spans="1:34" s="20" customFormat="1" ht="15" customHeight="1" x14ac:dyDescent="0.25">
      <c r="A34" s="24" t="s">
        <v>10</v>
      </c>
      <c r="B34" s="38"/>
      <c r="C34" s="1"/>
      <c r="D34" s="1"/>
      <c r="E34" s="1"/>
      <c r="F34" s="1"/>
      <c r="G34" s="1"/>
      <c r="H34" s="1"/>
      <c r="I34" s="38"/>
      <c r="J34" s="38"/>
      <c r="K34" s="38"/>
      <c r="L34" s="38"/>
      <c r="M34" s="38"/>
      <c r="N34" s="38"/>
      <c r="O34" s="38"/>
      <c r="P34" s="38"/>
      <c r="Q34" s="38"/>
      <c r="R34" s="38"/>
      <c r="S34" s="38"/>
      <c r="T34" s="38"/>
      <c r="U34" s="38"/>
      <c r="V34" s="38"/>
      <c r="W34" s="38"/>
      <c r="X34" s="38"/>
      <c r="Y34" s="38"/>
      <c r="Z34" s="38"/>
      <c r="AA34" s="38"/>
      <c r="AB34" s="37"/>
      <c r="AC34" s="38"/>
      <c r="AD34" s="37"/>
      <c r="AE34" s="38"/>
      <c r="AF34" s="38"/>
      <c r="AG34" s="38"/>
      <c r="AH34" s="37"/>
    </row>
    <row r="35" spans="1:34" s="20" customFormat="1" ht="15" customHeight="1" x14ac:dyDescent="0.25">
      <c r="A35" s="24" t="s">
        <v>23</v>
      </c>
      <c r="B35" s="38"/>
      <c r="C35" s="1"/>
      <c r="D35" s="1"/>
      <c r="E35" s="1"/>
      <c r="F35" s="1"/>
      <c r="G35" s="1"/>
      <c r="H35" s="1"/>
      <c r="I35" s="38"/>
      <c r="J35" s="38"/>
      <c r="K35" s="38"/>
      <c r="L35" s="38"/>
      <c r="M35" s="38"/>
      <c r="N35" s="38"/>
      <c r="O35" s="38"/>
      <c r="P35" s="38"/>
      <c r="Q35" s="38"/>
      <c r="R35" s="38"/>
      <c r="S35" s="38"/>
      <c r="T35" s="38"/>
      <c r="U35" s="38"/>
      <c r="V35" s="38"/>
      <c r="W35" s="38"/>
      <c r="X35" s="38"/>
      <c r="Y35" s="38"/>
      <c r="Z35" s="38"/>
      <c r="AA35" s="38"/>
      <c r="AB35" s="37"/>
      <c r="AC35" s="38"/>
      <c r="AD35" s="37"/>
      <c r="AE35" s="38"/>
      <c r="AF35" s="38"/>
      <c r="AG35" s="38"/>
      <c r="AH35" s="37"/>
    </row>
    <row r="36" spans="1:34" x14ac:dyDescent="0.25">
      <c r="A36" s="9" t="s">
        <v>241</v>
      </c>
      <c r="B36" s="9"/>
      <c r="C36" s="1"/>
      <c r="D36" s="1"/>
      <c r="E36" s="1"/>
      <c r="F36" s="1"/>
      <c r="G36" s="1"/>
      <c r="H36" s="1"/>
      <c r="I36" s="38"/>
      <c r="J36" s="38"/>
      <c r="K36" s="38"/>
      <c r="L36" s="38"/>
      <c r="M36" s="38"/>
      <c r="N36" s="38"/>
      <c r="O36" s="38"/>
      <c r="P36" s="38"/>
      <c r="Q36" s="37"/>
      <c r="R36" s="37"/>
      <c r="S36" s="37"/>
      <c r="T36" s="37"/>
      <c r="U36" s="37"/>
      <c r="V36" s="37"/>
      <c r="W36" s="37"/>
      <c r="X36" s="37"/>
      <c r="Y36" s="37"/>
      <c r="Z36" s="37"/>
      <c r="AA36" s="37"/>
      <c r="AB36" s="37"/>
      <c r="AC36" s="37"/>
      <c r="AD36" s="37"/>
      <c r="AE36" s="37"/>
      <c r="AF36" s="37"/>
      <c r="AG36" s="37"/>
      <c r="AH36" s="37"/>
    </row>
    <row r="37" spans="1:34" x14ac:dyDescent="0.25">
      <c r="A37" s="9" t="s">
        <v>242</v>
      </c>
      <c r="B37" s="9"/>
      <c r="C37" s="1"/>
      <c r="D37" s="1"/>
      <c r="E37" s="1"/>
      <c r="F37" s="1"/>
      <c r="G37" s="1"/>
      <c r="H37" s="1"/>
      <c r="I37" s="38"/>
      <c r="J37" s="38"/>
      <c r="K37" s="38"/>
      <c r="L37" s="38"/>
      <c r="M37" s="38"/>
      <c r="N37" s="38"/>
      <c r="O37" s="38"/>
      <c r="P37" s="38"/>
      <c r="Q37" s="37"/>
      <c r="R37" s="37"/>
      <c r="S37" s="37"/>
      <c r="T37" s="37"/>
      <c r="U37" s="37"/>
      <c r="V37" s="37"/>
      <c r="W37" s="37"/>
      <c r="X37" s="37"/>
      <c r="Y37" s="37"/>
      <c r="Z37" s="37"/>
      <c r="AA37" s="37"/>
      <c r="AB37" s="37"/>
      <c r="AC37" s="37"/>
      <c r="AD37" s="37"/>
      <c r="AE37" s="37"/>
      <c r="AF37" s="37"/>
      <c r="AG37" s="37"/>
      <c r="AH37" s="37"/>
    </row>
    <row r="38" spans="1:34" x14ac:dyDescent="0.25">
      <c r="A38" s="9">
        <f>SUMIF(D118:D122,"&gt;=50")</f>
        <v>200</v>
      </c>
      <c r="B38" s="9"/>
      <c r="C38" s="1"/>
      <c r="D38" s="1"/>
      <c r="E38" s="1"/>
      <c r="F38" s="1"/>
      <c r="G38" s="1"/>
      <c r="H38" s="1"/>
      <c r="I38" s="38"/>
      <c r="J38" s="38"/>
      <c r="K38" s="38"/>
      <c r="L38" s="38"/>
      <c r="M38" s="38"/>
      <c r="N38" s="38"/>
      <c r="O38" s="38"/>
      <c r="P38" s="38"/>
      <c r="Q38" s="37"/>
      <c r="R38" s="37"/>
      <c r="S38" s="37"/>
      <c r="T38" s="37"/>
      <c r="U38" s="37"/>
      <c r="V38" s="37"/>
      <c r="W38" s="37"/>
      <c r="X38" s="37"/>
      <c r="Y38" s="37"/>
      <c r="Z38" s="37"/>
      <c r="AA38" s="37"/>
      <c r="AB38" s="37"/>
      <c r="AC38" s="37"/>
      <c r="AD38" s="37"/>
      <c r="AE38" s="37"/>
      <c r="AF38" s="37"/>
      <c r="AG38" s="37"/>
      <c r="AH38" s="37"/>
    </row>
    <row r="39" spans="1:34" x14ac:dyDescent="0.25">
      <c r="A39" s="9" t="s">
        <v>243</v>
      </c>
      <c r="B39" s="9"/>
      <c r="C39" s="1"/>
      <c r="D39" s="1"/>
      <c r="E39" s="1"/>
      <c r="F39" s="1"/>
      <c r="G39" s="1"/>
      <c r="H39" s="1"/>
      <c r="I39" s="38"/>
      <c r="J39" s="38"/>
      <c r="K39" s="38"/>
      <c r="L39" s="38"/>
      <c r="M39" s="38"/>
      <c r="N39" s="38"/>
      <c r="O39" s="38"/>
      <c r="P39" s="38"/>
      <c r="Q39" s="37"/>
      <c r="R39" s="37"/>
      <c r="S39" s="37"/>
      <c r="T39" s="37"/>
      <c r="U39" s="37"/>
      <c r="V39" s="37"/>
      <c r="W39" s="37"/>
      <c r="X39" s="37"/>
      <c r="Y39" s="37"/>
      <c r="Z39" s="37"/>
      <c r="AA39" s="37"/>
      <c r="AB39" s="37"/>
      <c r="AC39" s="37"/>
      <c r="AD39" s="37"/>
      <c r="AE39" s="37"/>
      <c r="AF39" s="37"/>
      <c r="AG39" s="37"/>
      <c r="AH39" s="37"/>
    </row>
    <row r="40" spans="1:34" x14ac:dyDescent="0.25">
      <c r="A40" s="9" t="s">
        <v>244</v>
      </c>
      <c r="B40" s="9"/>
      <c r="C40" s="1"/>
      <c r="D40" s="1"/>
      <c r="E40" s="1"/>
      <c r="F40" s="1"/>
      <c r="G40" s="1"/>
      <c r="H40" s="1"/>
      <c r="I40" s="38"/>
      <c r="J40" s="38"/>
      <c r="K40" s="38"/>
      <c r="L40" s="38"/>
      <c r="M40" s="38"/>
      <c r="N40" s="38"/>
      <c r="O40" s="38"/>
      <c r="P40" s="38"/>
      <c r="Q40" s="37"/>
      <c r="R40" s="37"/>
      <c r="S40" s="37"/>
      <c r="T40" s="37"/>
      <c r="U40" s="37"/>
      <c r="V40" s="37"/>
      <c r="W40" s="37"/>
      <c r="X40" s="37"/>
      <c r="Y40" s="37"/>
      <c r="Z40" s="37"/>
      <c r="AA40" s="37"/>
      <c r="AB40" s="37"/>
      <c r="AC40" s="37"/>
      <c r="AD40" s="37"/>
      <c r="AE40" s="37"/>
      <c r="AF40" s="37"/>
      <c r="AG40" s="37"/>
      <c r="AH40" s="37"/>
    </row>
    <row r="41" spans="1:34" x14ac:dyDescent="0.25">
      <c r="A41" s="9" t="s">
        <v>245</v>
      </c>
      <c r="B41" s="9"/>
      <c r="C41" s="1"/>
      <c r="D41" s="1"/>
      <c r="E41" s="1"/>
      <c r="F41" s="1"/>
      <c r="G41" s="1"/>
      <c r="H41" s="1"/>
      <c r="I41" s="38"/>
      <c r="J41" s="38"/>
      <c r="K41" s="38"/>
      <c r="L41" s="38"/>
      <c r="M41" s="38"/>
      <c r="N41" s="38"/>
      <c r="O41" s="38"/>
      <c r="P41" s="38"/>
      <c r="Q41" s="37"/>
      <c r="R41" s="37"/>
      <c r="S41" s="37"/>
      <c r="T41" s="37"/>
      <c r="U41" s="37"/>
      <c r="V41" s="37"/>
      <c r="W41" s="37"/>
      <c r="X41" s="37"/>
      <c r="Y41" s="37"/>
      <c r="Z41" s="37"/>
      <c r="AA41" s="37"/>
      <c r="AB41" s="37"/>
      <c r="AC41" s="37"/>
      <c r="AD41" s="37"/>
      <c r="AE41" s="37"/>
      <c r="AF41" s="37"/>
      <c r="AG41" s="37"/>
      <c r="AH41" s="37"/>
    </row>
    <row r="42" spans="1:34" x14ac:dyDescent="0.25">
      <c r="A42" s="9" t="s">
        <v>246</v>
      </c>
      <c r="B42" s="9"/>
      <c r="C42" s="38"/>
      <c r="D42" s="38"/>
      <c r="E42" s="38"/>
      <c r="F42" s="38"/>
      <c r="G42" s="38"/>
      <c r="H42" s="38"/>
      <c r="I42" s="38"/>
      <c r="J42" s="38"/>
      <c r="K42" s="38"/>
      <c r="L42" s="38"/>
      <c r="M42" s="38"/>
      <c r="N42" s="38"/>
      <c r="O42" s="38"/>
      <c r="P42" s="38"/>
      <c r="Q42" s="37"/>
      <c r="R42" s="37"/>
      <c r="S42" s="37"/>
      <c r="T42" s="37"/>
      <c r="U42" s="37"/>
      <c r="V42" s="37"/>
      <c r="W42" s="37"/>
      <c r="X42" s="37"/>
      <c r="Y42" s="37"/>
      <c r="Z42" s="37"/>
      <c r="AA42" s="37"/>
      <c r="AB42" s="37"/>
      <c r="AC42" s="37"/>
      <c r="AD42" s="37"/>
      <c r="AE42" s="37"/>
      <c r="AF42" s="37"/>
      <c r="AG42" s="37"/>
      <c r="AH42" s="37"/>
    </row>
    <row r="43" spans="1:34" x14ac:dyDescent="0.25">
      <c r="A43" s="9" t="s">
        <v>24</v>
      </c>
      <c r="B43" s="9"/>
      <c r="C43" s="38"/>
      <c r="D43" s="38"/>
      <c r="E43" s="38"/>
      <c r="F43" s="38"/>
      <c r="G43" s="38"/>
      <c r="H43" s="38"/>
      <c r="I43" s="38"/>
      <c r="J43" s="38"/>
      <c r="K43" s="38"/>
      <c r="L43" s="38"/>
      <c r="M43" s="38"/>
      <c r="N43" s="38"/>
      <c r="O43" s="38"/>
      <c r="P43" s="38"/>
      <c r="Q43" s="37"/>
      <c r="R43" s="37"/>
      <c r="S43" s="37"/>
      <c r="T43" s="37"/>
      <c r="U43" s="37"/>
      <c r="V43" s="37"/>
      <c r="W43" s="37"/>
      <c r="X43" s="37"/>
      <c r="Y43" s="37"/>
      <c r="Z43" s="37"/>
      <c r="AA43" s="37"/>
      <c r="AB43" s="37"/>
      <c r="AC43" s="37"/>
      <c r="AD43" s="37"/>
      <c r="AE43" s="37"/>
      <c r="AF43" s="37"/>
      <c r="AG43" s="37"/>
      <c r="AH43" s="37"/>
    </row>
    <row r="44" spans="1:34" x14ac:dyDescent="0.25">
      <c r="A44" s="9" t="s">
        <v>97</v>
      </c>
      <c r="B44" s="9"/>
      <c r="C44" s="38"/>
      <c r="D44" s="38"/>
      <c r="E44" s="38"/>
      <c r="F44" s="38"/>
      <c r="G44" s="38"/>
      <c r="H44" s="38"/>
      <c r="I44" s="38"/>
      <c r="J44" s="38"/>
      <c r="K44" s="38"/>
      <c r="L44" s="38"/>
      <c r="M44" s="38"/>
      <c r="N44" s="38"/>
      <c r="O44" s="38"/>
      <c r="P44" s="38"/>
      <c r="Q44" s="37"/>
      <c r="R44" s="37"/>
      <c r="S44" s="37"/>
      <c r="T44" s="37"/>
      <c r="U44" s="37"/>
      <c r="V44" s="37"/>
      <c r="W44" s="37"/>
      <c r="X44" s="37"/>
      <c r="Y44" s="37"/>
      <c r="Z44" s="37"/>
      <c r="AA44" s="37"/>
      <c r="AB44" s="37"/>
      <c r="AC44" s="37"/>
      <c r="AD44" s="37"/>
      <c r="AE44" s="37"/>
      <c r="AF44" s="37"/>
      <c r="AG44" s="37"/>
      <c r="AH44" s="37"/>
    </row>
    <row r="45" spans="1:34" x14ac:dyDescent="0.25">
      <c r="A45" s="9" t="s">
        <v>247</v>
      </c>
      <c r="B45" s="9"/>
      <c r="C45" s="38"/>
      <c r="D45" s="38"/>
      <c r="E45" s="38"/>
      <c r="F45" s="38"/>
      <c r="G45" s="38"/>
      <c r="H45" s="38"/>
      <c r="I45" s="38"/>
      <c r="J45" s="38"/>
      <c r="K45" s="38"/>
      <c r="L45" s="38"/>
      <c r="M45" s="38"/>
      <c r="N45" s="38"/>
      <c r="O45" s="38"/>
      <c r="P45" s="38"/>
      <c r="Q45" s="37"/>
      <c r="R45" s="37"/>
      <c r="S45" s="37"/>
      <c r="T45" s="37"/>
      <c r="U45" s="37"/>
      <c r="V45" s="37"/>
      <c r="W45" s="37"/>
      <c r="X45" s="37"/>
      <c r="Y45" s="37"/>
      <c r="Z45" s="37"/>
      <c r="AA45" s="37"/>
      <c r="AB45" s="37"/>
      <c r="AC45" s="37"/>
      <c r="AD45" s="37"/>
      <c r="AE45" s="37"/>
      <c r="AF45" s="37"/>
      <c r="AG45" s="37"/>
      <c r="AH45" s="37"/>
    </row>
    <row r="46" spans="1:34" x14ac:dyDescent="0.25">
      <c r="A46" s="9" t="s">
        <v>248</v>
      </c>
      <c r="B46" s="9"/>
      <c r="C46" s="38"/>
      <c r="D46" s="38"/>
      <c r="E46" s="38"/>
      <c r="F46" s="38"/>
      <c r="G46" s="38"/>
      <c r="H46" s="38"/>
      <c r="I46" s="38"/>
      <c r="J46" s="38"/>
      <c r="K46" s="38"/>
      <c r="L46" s="38"/>
      <c r="M46" s="38"/>
      <c r="N46" s="38"/>
      <c r="O46" s="38"/>
      <c r="P46" s="38"/>
      <c r="Q46" s="37"/>
      <c r="R46" s="37"/>
      <c r="S46" s="37"/>
      <c r="T46" s="37"/>
      <c r="U46" s="37"/>
      <c r="V46" s="37"/>
      <c r="W46" s="37"/>
      <c r="X46" s="37"/>
      <c r="Y46" s="37"/>
      <c r="Z46" s="37"/>
      <c r="AA46" s="37"/>
      <c r="AB46" s="37"/>
      <c r="AC46" s="37"/>
      <c r="AD46" s="37"/>
      <c r="AE46" s="37"/>
      <c r="AF46" s="37"/>
      <c r="AG46" s="37"/>
      <c r="AH46" s="37"/>
    </row>
    <row r="47" spans="1:34" x14ac:dyDescent="0.25">
      <c r="A47" s="9" t="s">
        <v>249</v>
      </c>
      <c r="B47" s="9"/>
      <c r="C47" s="38"/>
      <c r="D47" s="38"/>
      <c r="E47" s="38"/>
      <c r="F47" s="38"/>
      <c r="G47" s="38"/>
      <c r="H47" s="38"/>
      <c r="I47" s="38"/>
      <c r="J47" s="38"/>
      <c r="K47" s="38"/>
      <c r="L47" s="38"/>
      <c r="M47" s="38"/>
      <c r="N47" s="38"/>
      <c r="O47" s="38"/>
      <c r="P47" s="38"/>
      <c r="Q47" s="37"/>
      <c r="R47" s="37"/>
      <c r="S47" s="37"/>
      <c r="T47" s="37"/>
      <c r="U47" s="37"/>
      <c r="V47" s="37"/>
      <c r="W47" s="37"/>
      <c r="X47" s="37"/>
      <c r="Y47" s="37"/>
      <c r="Z47" s="37"/>
      <c r="AA47" s="37"/>
      <c r="AB47" s="37"/>
      <c r="AC47" s="37"/>
      <c r="AD47" s="37"/>
      <c r="AE47" s="37"/>
      <c r="AF47" s="37"/>
      <c r="AG47" s="37"/>
      <c r="AH47" s="37"/>
    </row>
    <row r="48" spans="1:34" x14ac:dyDescent="0.25">
      <c r="A48" s="9" t="s">
        <v>250</v>
      </c>
      <c r="B48" s="9"/>
      <c r="C48" s="38"/>
      <c r="D48" s="38"/>
      <c r="E48" s="38"/>
      <c r="F48" s="38"/>
      <c r="G48" s="38"/>
      <c r="H48" s="38"/>
      <c r="I48" s="38"/>
      <c r="J48" s="38"/>
      <c r="K48" s="38"/>
      <c r="L48" s="38"/>
      <c r="M48" s="38"/>
      <c r="N48" s="38"/>
      <c r="O48" s="38"/>
      <c r="P48" s="38"/>
      <c r="Q48" s="37"/>
      <c r="R48" s="37"/>
      <c r="S48" s="37"/>
      <c r="T48" s="37"/>
      <c r="U48" s="37"/>
      <c r="V48" s="37"/>
      <c r="W48" s="37"/>
      <c r="X48" s="37"/>
      <c r="Y48" s="37"/>
      <c r="Z48" s="37"/>
      <c r="AA48" s="37"/>
      <c r="AB48" s="37"/>
      <c r="AC48" s="37"/>
      <c r="AD48" s="37"/>
      <c r="AE48" s="37"/>
      <c r="AF48" s="37"/>
      <c r="AG48" s="37"/>
      <c r="AH48" s="37"/>
    </row>
    <row r="49" spans="1:34" x14ac:dyDescent="0.25">
      <c r="A49" s="9" t="s">
        <v>251</v>
      </c>
      <c r="B49" s="9"/>
      <c r="C49" s="7" t="s">
        <v>56</v>
      </c>
      <c r="D49" s="8" t="s">
        <v>72</v>
      </c>
      <c r="E49" s="39"/>
      <c r="F49" s="7" t="s">
        <v>56</v>
      </c>
      <c r="G49" s="7" t="s">
        <v>257</v>
      </c>
      <c r="H49" s="8" t="s">
        <v>72</v>
      </c>
      <c r="I49" s="38"/>
      <c r="J49" s="38"/>
      <c r="K49" s="38"/>
      <c r="L49" s="38"/>
      <c r="M49" s="38"/>
      <c r="N49" s="38"/>
      <c r="O49" s="38"/>
      <c r="P49" s="38"/>
      <c r="Q49" s="37"/>
      <c r="R49" s="37"/>
      <c r="S49" s="37"/>
      <c r="T49" s="37"/>
      <c r="U49" s="37"/>
      <c r="V49" s="37"/>
      <c r="W49" s="37"/>
      <c r="X49" s="37"/>
      <c r="Y49" s="37"/>
      <c r="Z49" s="37"/>
      <c r="AA49" s="37"/>
      <c r="AB49" s="37"/>
      <c r="AC49" s="37"/>
      <c r="AD49" s="37"/>
      <c r="AE49" s="37"/>
      <c r="AF49" s="37"/>
      <c r="AG49" s="37"/>
      <c r="AH49" s="37"/>
    </row>
    <row r="50" spans="1:34" x14ac:dyDescent="0.25">
      <c r="A50" s="9" t="s">
        <v>252</v>
      </c>
      <c r="B50" s="9"/>
      <c r="C50" s="40" t="s">
        <v>57</v>
      </c>
      <c r="D50" s="41">
        <v>50</v>
      </c>
      <c r="E50" s="39"/>
      <c r="F50" s="40" t="s">
        <v>57</v>
      </c>
      <c r="G50" s="40" t="s">
        <v>258</v>
      </c>
      <c r="H50" s="41">
        <v>50</v>
      </c>
      <c r="I50" s="38"/>
      <c r="J50" s="38"/>
      <c r="K50" s="38"/>
      <c r="L50" s="38"/>
      <c r="M50" s="38"/>
      <c r="N50" s="38"/>
      <c r="O50" s="38"/>
      <c r="P50" s="38"/>
      <c r="Q50" s="37"/>
      <c r="R50" s="37"/>
      <c r="S50" s="37"/>
      <c r="T50" s="37"/>
      <c r="U50" s="37"/>
      <c r="V50" s="37"/>
      <c r="W50" s="37"/>
      <c r="X50" s="37"/>
      <c r="Y50" s="37"/>
      <c r="Z50" s="37"/>
      <c r="AA50" s="37"/>
      <c r="AB50" s="37"/>
      <c r="AC50" s="37"/>
      <c r="AD50" s="37"/>
      <c r="AE50" s="37"/>
      <c r="AF50" s="37"/>
      <c r="AG50" s="37"/>
      <c r="AH50" s="37"/>
    </row>
    <row r="51" spans="1:34" x14ac:dyDescent="0.25">
      <c r="A51" s="9" t="s">
        <v>253</v>
      </c>
      <c r="B51" s="9"/>
      <c r="C51" s="40" t="s">
        <v>58</v>
      </c>
      <c r="D51" s="41">
        <v>20</v>
      </c>
      <c r="E51" s="39"/>
      <c r="F51" s="40" t="s">
        <v>58</v>
      </c>
      <c r="G51" s="40" t="s">
        <v>259</v>
      </c>
      <c r="H51" s="41">
        <v>20</v>
      </c>
      <c r="I51" s="38"/>
      <c r="J51" s="38"/>
      <c r="K51" s="38"/>
      <c r="L51" s="38"/>
      <c r="M51" s="38"/>
      <c r="N51" s="38"/>
      <c r="O51" s="38"/>
      <c r="P51" s="38"/>
      <c r="Q51" s="37"/>
      <c r="R51" s="37"/>
      <c r="S51" s="37"/>
      <c r="T51" s="37"/>
      <c r="U51" s="37"/>
      <c r="V51" s="37"/>
      <c r="W51" s="37"/>
      <c r="X51" s="37"/>
      <c r="Y51" s="37"/>
      <c r="Z51" s="37"/>
      <c r="AA51" s="37"/>
      <c r="AB51" s="37"/>
      <c r="AC51" s="37"/>
      <c r="AD51" s="37"/>
      <c r="AE51" s="37"/>
      <c r="AF51" s="37"/>
      <c r="AG51" s="37"/>
      <c r="AH51" s="37"/>
    </row>
    <row r="52" spans="1:34" x14ac:dyDescent="0.25">
      <c r="A52" s="9" t="s">
        <v>254</v>
      </c>
      <c r="B52" s="9"/>
      <c r="C52" s="40" t="s">
        <v>59</v>
      </c>
      <c r="D52" s="41">
        <v>60</v>
      </c>
      <c r="E52" s="39"/>
      <c r="F52" s="40" t="s">
        <v>59</v>
      </c>
      <c r="G52" s="40" t="s">
        <v>260</v>
      </c>
      <c r="H52" s="41">
        <v>60</v>
      </c>
      <c r="I52" s="38"/>
      <c r="J52" s="38"/>
      <c r="K52" s="38"/>
      <c r="L52" s="38"/>
      <c r="M52" s="38"/>
      <c r="N52" s="38"/>
      <c r="O52" s="38"/>
      <c r="P52" s="38"/>
      <c r="Q52" s="37"/>
      <c r="R52" s="37"/>
      <c r="S52" s="37"/>
      <c r="T52" s="37"/>
      <c r="U52" s="37"/>
      <c r="V52" s="37"/>
      <c r="W52" s="37"/>
      <c r="X52" s="37"/>
      <c r="Y52" s="37"/>
      <c r="Z52" s="37"/>
      <c r="AA52" s="37"/>
      <c r="AB52" s="37"/>
      <c r="AC52" s="37"/>
      <c r="AD52" s="37"/>
      <c r="AE52" s="37"/>
      <c r="AF52" s="37"/>
      <c r="AG52" s="37"/>
      <c r="AH52" s="37"/>
    </row>
    <row r="53" spans="1:34" x14ac:dyDescent="0.25">
      <c r="A53" s="9" t="s">
        <v>29</v>
      </c>
      <c r="B53" s="9"/>
      <c r="C53" s="40" t="s">
        <v>60</v>
      </c>
      <c r="D53" s="41">
        <v>40</v>
      </c>
      <c r="E53" s="39"/>
      <c r="F53" s="40" t="s">
        <v>60</v>
      </c>
      <c r="G53" s="40" t="s">
        <v>261</v>
      </c>
      <c r="H53" s="41">
        <v>40</v>
      </c>
      <c r="I53" s="38"/>
      <c r="J53" s="38"/>
      <c r="K53" s="38"/>
      <c r="L53" s="38"/>
      <c r="M53" s="38"/>
      <c r="N53" s="38"/>
      <c r="O53" s="38"/>
      <c r="P53" s="38"/>
      <c r="Q53" s="37"/>
      <c r="R53" s="37"/>
      <c r="S53" s="37"/>
      <c r="T53" s="37"/>
      <c r="U53" s="37"/>
      <c r="V53" s="37"/>
      <c r="W53" s="37"/>
      <c r="X53" s="37"/>
      <c r="Y53" s="37"/>
      <c r="Z53" s="37"/>
      <c r="AA53" s="37"/>
      <c r="AB53" s="37"/>
      <c r="AC53" s="37"/>
      <c r="AD53" s="37"/>
      <c r="AE53" s="37"/>
      <c r="AF53" s="37"/>
      <c r="AG53" s="37"/>
      <c r="AH53" s="37"/>
    </row>
    <row r="54" spans="1:34" x14ac:dyDescent="0.25">
      <c r="A54" s="9" t="s">
        <v>55</v>
      </c>
      <c r="B54" s="9"/>
      <c r="C54" s="40" t="s">
        <v>57</v>
      </c>
      <c r="D54" s="41">
        <v>50</v>
      </c>
      <c r="E54" s="39"/>
      <c r="F54" s="40" t="s">
        <v>57</v>
      </c>
      <c r="G54" s="40" t="s">
        <v>262</v>
      </c>
      <c r="H54" s="41">
        <v>50</v>
      </c>
      <c r="I54" s="38"/>
      <c r="J54" s="38"/>
      <c r="K54" s="38"/>
      <c r="L54" s="38"/>
      <c r="M54" s="38"/>
      <c r="N54" s="38"/>
      <c r="O54" s="38"/>
      <c r="P54" s="38"/>
      <c r="Q54" s="37"/>
      <c r="R54" s="37"/>
      <c r="S54" s="37"/>
      <c r="T54" s="37"/>
      <c r="U54" s="37"/>
      <c r="V54" s="37"/>
      <c r="W54" s="37"/>
      <c r="X54" s="37"/>
      <c r="Y54" s="37"/>
      <c r="Z54" s="37"/>
      <c r="AA54" s="37"/>
      <c r="AB54" s="37"/>
      <c r="AC54" s="37"/>
      <c r="AD54" s="37"/>
      <c r="AE54" s="37"/>
      <c r="AF54" s="37"/>
      <c r="AG54" s="37"/>
      <c r="AH54" s="37"/>
    </row>
    <row r="55" spans="1:34" x14ac:dyDescent="0.25">
      <c r="A55" s="9" t="s">
        <v>23</v>
      </c>
      <c r="B55" s="9"/>
      <c r="C55" s="40" t="s">
        <v>58</v>
      </c>
      <c r="D55" s="41">
        <v>20</v>
      </c>
      <c r="E55" s="39"/>
      <c r="F55" s="40" t="s">
        <v>58</v>
      </c>
      <c r="G55" s="40" t="s">
        <v>263</v>
      </c>
      <c r="H55" s="41">
        <v>20</v>
      </c>
      <c r="I55" s="38"/>
      <c r="J55" s="38"/>
      <c r="K55" s="38"/>
      <c r="L55" s="38"/>
      <c r="M55" s="38"/>
      <c r="N55" s="38"/>
      <c r="O55" s="38"/>
      <c r="P55" s="38"/>
      <c r="Q55" s="37"/>
      <c r="R55" s="37"/>
      <c r="S55" s="37"/>
      <c r="T55" s="37"/>
      <c r="U55" s="37"/>
      <c r="V55" s="37"/>
      <c r="W55" s="37"/>
      <c r="X55" s="37"/>
      <c r="Y55" s="37"/>
      <c r="Z55" s="37"/>
      <c r="AA55" s="37"/>
      <c r="AB55" s="37"/>
      <c r="AC55" s="37"/>
      <c r="AD55" s="37"/>
      <c r="AE55" s="37"/>
      <c r="AF55" s="37"/>
      <c r="AG55" s="37"/>
      <c r="AH55" s="37"/>
    </row>
    <row r="56" spans="1:34" x14ac:dyDescent="0.25">
      <c r="B56" s="9"/>
      <c r="C56" s="40" t="s">
        <v>59</v>
      </c>
      <c r="D56" s="41">
        <v>60</v>
      </c>
      <c r="E56" s="39"/>
      <c r="F56" s="40" t="s">
        <v>59</v>
      </c>
      <c r="G56" s="40" t="s">
        <v>264</v>
      </c>
      <c r="H56" s="41">
        <v>60</v>
      </c>
      <c r="I56" s="38"/>
      <c r="J56" s="38"/>
      <c r="K56" s="38"/>
      <c r="L56" s="38"/>
      <c r="M56" s="38"/>
      <c r="N56" s="38"/>
      <c r="O56" s="38"/>
      <c r="P56" s="38"/>
      <c r="Q56" s="37"/>
      <c r="R56" s="37"/>
      <c r="S56" s="37"/>
      <c r="T56" s="37"/>
      <c r="U56" s="37"/>
      <c r="V56" s="37"/>
      <c r="W56" s="37"/>
      <c r="X56" s="37"/>
      <c r="Y56" s="37"/>
      <c r="Z56" s="37"/>
      <c r="AA56" s="37"/>
      <c r="AB56" s="37"/>
      <c r="AC56" s="37"/>
      <c r="AD56" s="37"/>
      <c r="AE56" s="37"/>
      <c r="AF56" s="37"/>
      <c r="AG56" s="37"/>
      <c r="AH56" s="37"/>
    </row>
    <row r="57" spans="1:34" x14ac:dyDescent="0.25">
      <c r="B57" s="9"/>
      <c r="C57" s="40" t="s">
        <v>60</v>
      </c>
      <c r="D57" s="41">
        <v>40</v>
      </c>
      <c r="E57" s="39"/>
      <c r="F57" s="40" t="s">
        <v>60</v>
      </c>
      <c r="G57" s="40" t="s">
        <v>265</v>
      </c>
      <c r="H57" s="41">
        <v>40</v>
      </c>
      <c r="I57" s="38"/>
      <c r="J57" s="38"/>
      <c r="K57" s="38"/>
      <c r="L57" s="38"/>
      <c r="M57" s="38"/>
      <c r="N57" s="38"/>
      <c r="O57" s="38"/>
      <c r="P57" s="38"/>
      <c r="Q57" s="37"/>
      <c r="R57" s="37"/>
      <c r="S57" s="37"/>
      <c r="T57" s="37"/>
      <c r="U57" s="37"/>
      <c r="V57" s="37"/>
      <c r="W57" s="37"/>
      <c r="X57" s="37"/>
      <c r="Y57" s="37"/>
      <c r="Z57" s="37"/>
      <c r="AA57" s="37"/>
      <c r="AB57" s="37"/>
      <c r="AC57" s="37"/>
      <c r="AD57" s="37"/>
      <c r="AE57" s="37"/>
      <c r="AF57" s="37"/>
      <c r="AG57" s="37"/>
      <c r="AH57" s="37"/>
    </row>
    <row r="58" spans="1:34" x14ac:dyDescent="0.25">
      <c r="B58" s="9"/>
      <c r="C58" s="40" t="s">
        <v>57</v>
      </c>
      <c r="D58" s="41">
        <v>50</v>
      </c>
      <c r="E58" s="39"/>
      <c r="F58" s="40" t="s">
        <v>57</v>
      </c>
      <c r="G58" s="40" t="s">
        <v>262</v>
      </c>
      <c r="H58" s="41">
        <v>50</v>
      </c>
      <c r="I58" s="38"/>
      <c r="J58" s="38"/>
      <c r="K58" s="38"/>
      <c r="L58" s="38"/>
      <c r="M58" s="38"/>
      <c r="N58" s="38"/>
      <c r="O58" s="38"/>
      <c r="P58" s="38"/>
      <c r="Q58" s="37"/>
      <c r="R58" s="37"/>
      <c r="S58" s="37"/>
      <c r="T58" s="37"/>
      <c r="U58" s="37"/>
      <c r="V58" s="37"/>
      <c r="W58" s="37"/>
      <c r="X58" s="37"/>
      <c r="Y58" s="37"/>
      <c r="Z58" s="37"/>
      <c r="AA58" s="37"/>
      <c r="AB58" s="37"/>
      <c r="AC58" s="37"/>
      <c r="AD58" s="37"/>
      <c r="AE58" s="37"/>
      <c r="AF58" s="37"/>
      <c r="AG58" s="37"/>
      <c r="AH58" s="37"/>
    </row>
    <row r="59" spans="1:34" x14ac:dyDescent="0.25">
      <c r="B59" s="9"/>
      <c r="C59" s="40" t="s">
        <v>58</v>
      </c>
      <c r="D59" s="41">
        <v>20</v>
      </c>
      <c r="E59" s="39"/>
      <c r="F59" s="40" t="s">
        <v>58</v>
      </c>
      <c r="G59" s="40" t="s">
        <v>263</v>
      </c>
      <c r="H59" s="41">
        <v>20</v>
      </c>
      <c r="I59" s="38"/>
      <c r="J59" s="38"/>
      <c r="K59" s="38"/>
      <c r="L59" s="38"/>
      <c r="M59" s="38"/>
      <c r="N59" s="38"/>
      <c r="O59" s="38"/>
      <c r="P59" s="38"/>
      <c r="Q59" s="37"/>
      <c r="R59" s="37"/>
      <c r="S59" s="37"/>
      <c r="T59" s="37"/>
      <c r="U59" s="37"/>
      <c r="V59" s="37"/>
      <c r="W59" s="37"/>
      <c r="X59" s="37"/>
      <c r="Y59" s="37"/>
      <c r="Z59" s="37"/>
      <c r="AA59" s="37"/>
      <c r="AB59" s="37"/>
      <c r="AC59" s="37"/>
      <c r="AD59" s="37"/>
      <c r="AE59" s="37"/>
      <c r="AF59" s="37"/>
      <c r="AG59" s="37"/>
      <c r="AH59" s="37"/>
    </row>
    <row r="60" spans="1:34" x14ac:dyDescent="0.25">
      <c r="B60" s="9"/>
      <c r="C60" s="40" t="s">
        <v>59</v>
      </c>
      <c r="D60" s="41">
        <v>60</v>
      </c>
      <c r="E60" s="39"/>
      <c r="F60" s="40" t="s">
        <v>59</v>
      </c>
      <c r="G60" s="40" t="s">
        <v>260</v>
      </c>
      <c r="H60" s="41">
        <v>60</v>
      </c>
      <c r="I60" s="38"/>
      <c r="J60" s="38"/>
      <c r="K60" s="38"/>
      <c r="L60" s="38"/>
      <c r="M60" s="38"/>
      <c r="N60" s="38"/>
      <c r="O60" s="38"/>
      <c r="P60" s="38"/>
      <c r="Q60" s="37"/>
      <c r="R60" s="37"/>
      <c r="S60" s="37"/>
      <c r="T60" s="37"/>
      <c r="U60" s="37"/>
      <c r="V60" s="37"/>
      <c r="W60" s="37"/>
      <c r="X60" s="37"/>
      <c r="Y60" s="37"/>
      <c r="Z60" s="37"/>
      <c r="AA60" s="37"/>
      <c r="AB60" s="37"/>
      <c r="AC60" s="37"/>
      <c r="AD60" s="37"/>
      <c r="AE60" s="37"/>
      <c r="AF60" s="37"/>
      <c r="AG60" s="37"/>
      <c r="AH60" s="37"/>
    </row>
    <row r="61" spans="1:34" x14ac:dyDescent="0.25">
      <c r="B61" s="9"/>
      <c r="C61" s="40" t="s">
        <v>60</v>
      </c>
      <c r="D61" s="41">
        <v>40</v>
      </c>
      <c r="E61" s="39"/>
      <c r="F61" s="40" t="s">
        <v>60</v>
      </c>
      <c r="G61" s="40" t="s">
        <v>265</v>
      </c>
      <c r="H61" s="41">
        <v>40</v>
      </c>
      <c r="I61" s="38"/>
      <c r="J61" s="38"/>
      <c r="K61" s="38"/>
      <c r="L61" s="38"/>
      <c r="M61" s="38"/>
      <c r="N61" s="38"/>
      <c r="O61" s="38"/>
      <c r="P61" s="38"/>
      <c r="Q61" s="37"/>
      <c r="R61" s="37"/>
      <c r="S61" s="37"/>
      <c r="T61" s="37"/>
      <c r="U61" s="37"/>
      <c r="V61" s="37"/>
      <c r="W61" s="37"/>
      <c r="X61" s="37"/>
      <c r="Y61" s="37"/>
      <c r="Z61" s="37"/>
      <c r="AA61" s="37"/>
      <c r="AB61" s="37"/>
      <c r="AC61" s="37"/>
      <c r="AD61" s="37"/>
      <c r="AE61" s="37"/>
      <c r="AF61" s="37"/>
      <c r="AG61" s="37"/>
      <c r="AH61" s="37"/>
    </row>
    <row r="62" spans="1:34" x14ac:dyDescent="0.25">
      <c r="B62" s="9"/>
      <c r="C62" s="21"/>
      <c r="D62" s="21"/>
      <c r="E62" s="21"/>
      <c r="F62" s="21"/>
      <c r="G62" s="21"/>
      <c r="H62" s="21"/>
      <c r="I62" s="38"/>
      <c r="J62" s="38"/>
      <c r="K62" s="38"/>
      <c r="L62" s="38"/>
      <c r="M62" s="38"/>
      <c r="N62" s="38"/>
      <c r="O62" s="38"/>
      <c r="P62" s="38"/>
      <c r="Q62" s="37"/>
      <c r="R62" s="37"/>
      <c r="S62" s="37"/>
      <c r="T62" s="37"/>
      <c r="U62" s="37"/>
      <c r="V62" s="37"/>
      <c r="W62" s="37"/>
      <c r="X62" s="37"/>
      <c r="Y62" s="37"/>
      <c r="Z62" s="37"/>
      <c r="AA62" s="37"/>
      <c r="AB62" s="37"/>
      <c r="AC62" s="37"/>
      <c r="AD62" s="37"/>
      <c r="AE62" s="37"/>
      <c r="AF62" s="37"/>
      <c r="AG62" s="37"/>
      <c r="AH62" s="37"/>
    </row>
    <row r="63" spans="1:34" ht="15.75" thickBot="1" x14ac:dyDescent="0.3">
      <c r="B63" s="9"/>
      <c r="C63" s="38" t="s">
        <v>56</v>
      </c>
      <c r="D63" s="23" t="s">
        <v>256</v>
      </c>
      <c r="E63" s="39"/>
      <c r="F63" s="38" t="s">
        <v>56</v>
      </c>
      <c r="G63" s="38" t="s">
        <v>257</v>
      </c>
      <c r="H63" s="23" t="s">
        <v>268</v>
      </c>
      <c r="I63" s="38"/>
      <c r="J63" s="38"/>
      <c r="K63" s="38"/>
      <c r="L63" s="38"/>
      <c r="M63" s="38"/>
      <c r="N63" s="38"/>
      <c r="O63" s="38"/>
      <c r="P63" s="38"/>
      <c r="Q63" s="37"/>
      <c r="R63" s="37"/>
      <c r="S63" s="37"/>
      <c r="T63" s="37"/>
      <c r="U63" s="37"/>
      <c r="V63" s="37"/>
      <c r="W63" s="37"/>
      <c r="X63" s="37"/>
      <c r="Y63" s="37"/>
      <c r="Z63" s="37"/>
      <c r="AA63" s="37"/>
      <c r="AB63" s="37"/>
      <c r="AC63" s="37"/>
      <c r="AD63" s="37"/>
      <c r="AE63" s="37"/>
      <c r="AF63" s="37"/>
      <c r="AG63" s="37"/>
      <c r="AH63" s="37"/>
    </row>
    <row r="64" spans="1:34" ht="16.5" thickTop="1" thickBot="1" x14ac:dyDescent="0.3">
      <c r="B64" s="9"/>
      <c r="C64" s="46" t="s">
        <v>57</v>
      </c>
      <c r="D64" s="47">
        <f>COUNTIF(C50:C61,C64)</f>
        <v>3</v>
      </c>
      <c r="E64" s="39"/>
      <c r="F64" s="46" t="s">
        <v>58</v>
      </c>
      <c r="G64" s="46" t="s">
        <v>259</v>
      </c>
      <c r="H64" s="42">
        <f>COUNTIFS(F50:F61,F64,G50:G61,G64)</f>
        <v>1</v>
      </c>
      <c r="I64" s="38"/>
      <c r="J64" s="38"/>
      <c r="K64" s="38"/>
      <c r="L64" s="38"/>
      <c r="M64" s="38"/>
      <c r="N64" s="38"/>
      <c r="O64" s="38"/>
      <c r="P64" s="38"/>
      <c r="Q64" s="37"/>
      <c r="R64" s="37"/>
      <c r="S64" s="37"/>
      <c r="T64" s="37"/>
      <c r="U64" s="37"/>
      <c r="V64" s="37"/>
      <c r="W64" s="37"/>
      <c r="X64" s="37"/>
      <c r="Y64" s="37"/>
      <c r="Z64" s="37"/>
      <c r="AA64" s="37"/>
      <c r="AB64" s="37"/>
      <c r="AC64" s="37"/>
      <c r="AD64" s="37"/>
      <c r="AE64" s="37"/>
      <c r="AF64" s="37"/>
      <c r="AG64" s="37"/>
      <c r="AH64" s="37"/>
    </row>
    <row r="65" spans="2:34" ht="15.75" thickTop="1" x14ac:dyDescent="0.25">
      <c r="B65" s="9"/>
      <c r="C65" s="38"/>
      <c r="D65" s="38"/>
      <c r="E65" s="39"/>
      <c r="F65" s="38"/>
      <c r="G65" s="38"/>
      <c r="H65" s="38"/>
      <c r="I65" s="38"/>
      <c r="J65" s="38"/>
      <c r="K65" s="38"/>
      <c r="L65" s="38"/>
      <c r="M65" s="38"/>
      <c r="N65" s="38"/>
      <c r="O65" s="38"/>
      <c r="P65" s="38"/>
      <c r="Q65" s="37"/>
      <c r="R65" s="37"/>
      <c r="S65" s="37"/>
      <c r="T65" s="37"/>
      <c r="U65" s="37"/>
      <c r="V65" s="37"/>
      <c r="W65" s="37"/>
      <c r="X65" s="37"/>
      <c r="Y65" s="37"/>
      <c r="Z65" s="37"/>
      <c r="AA65" s="37"/>
      <c r="AB65" s="37"/>
      <c r="AC65" s="37"/>
      <c r="AD65" s="37"/>
      <c r="AE65" s="37"/>
      <c r="AF65" s="37"/>
      <c r="AG65" s="37"/>
      <c r="AH65" s="37"/>
    </row>
    <row r="66" spans="2:34" x14ac:dyDescent="0.25">
      <c r="B66" s="9"/>
      <c r="C66" s="1"/>
      <c r="D66" s="1"/>
      <c r="E66" s="1"/>
      <c r="F66" s="1"/>
      <c r="G66" s="1"/>
      <c r="H66" s="1"/>
      <c r="I66" s="38"/>
      <c r="J66" s="38"/>
      <c r="K66" s="38"/>
      <c r="L66" s="38"/>
      <c r="M66" s="38"/>
      <c r="N66" s="38"/>
      <c r="O66" s="38"/>
      <c r="P66" s="38"/>
      <c r="Q66" s="37"/>
      <c r="R66" s="37"/>
      <c r="S66" s="37"/>
      <c r="T66" s="37"/>
      <c r="U66" s="37"/>
      <c r="V66" s="37"/>
      <c r="W66" s="37"/>
      <c r="X66" s="37"/>
      <c r="Y66" s="37"/>
      <c r="Z66" s="37"/>
      <c r="AA66" s="37"/>
      <c r="AB66" s="37"/>
      <c r="AC66" s="37"/>
      <c r="AD66" s="37"/>
      <c r="AE66" s="37"/>
      <c r="AF66" s="37"/>
      <c r="AG66" s="37"/>
      <c r="AH66" s="37"/>
    </row>
    <row r="67" spans="2:34" x14ac:dyDescent="0.25">
      <c r="B67" s="9"/>
      <c r="C67" s="1"/>
      <c r="D67" s="1"/>
      <c r="E67" s="1"/>
      <c r="F67" s="1"/>
      <c r="G67" s="1"/>
      <c r="H67" s="1"/>
      <c r="I67" s="38"/>
      <c r="J67" s="38"/>
      <c r="K67" s="38"/>
      <c r="L67" s="38"/>
      <c r="M67" s="38"/>
      <c r="N67" s="38"/>
      <c r="O67" s="38"/>
      <c r="P67" s="38"/>
      <c r="Q67" s="37"/>
      <c r="R67" s="37"/>
      <c r="S67" s="37"/>
      <c r="T67" s="37"/>
      <c r="U67" s="37"/>
      <c r="V67" s="37"/>
      <c r="W67" s="37"/>
      <c r="X67" s="37"/>
      <c r="Y67" s="37"/>
      <c r="Z67" s="37"/>
      <c r="AA67" s="37"/>
      <c r="AB67" s="37"/>
      <c r="AC67" s="37"/>
      <c r="AD67" s="37"/>
      <c r="AE67" s="37"/>
      <c r="AF67" s="37"/>
      <c r="AG67" s="37"/>
      <c r="AH67" s="37"/>
    </row>
    <row r="68" spans="2:34" x14ac:dyDescent="0.25">
      <c r="B68" s="9"/>
      <c r="C68" s="1"/>
      <c r="D68" s="1"/>
      <c r="E68" s="1"/>
      <c r="F68" s="1"/>
      <c r="G68" s="1"/>
      <c r="H68" s="1"/>
      <c r="I68" s="38"/>
      <c r="J68" s="38"/>
      <c r="K68" s="38"/>
      <c r="L68" s="38"/>
      <c r="M68" s="38"/>
      <c r="N68" s="38"/>
      <c r="O68" s="38"/>
      <c r="P68" s="38"/>
      <c r="Q68" s="37"/>
      <c r="R68" s="37"/>
      <c r="S68" s="37"/>
      <c r="T68" s="37"/>
      <c r="U68" s="37"/>
      <c r="V68" s="37"/>
      <c r="W68" s="37"/>
      <c r="X68" s="37"/>
      <c r="Y68" s="37"/>
      <c r="Z68" s="37"/>
      <c r="AA68" s="37"/>
      <c r="AB68" s="37"/>
      <c r="AC68" s="37"/>
      <c r="AD68" s="37"/>
      <c r="AE68" s="37"/>
      <c r="AF68" s="37"/>
      <c r="AG68" s="37"/>
      <c r="AH68" s="37"/>
    </row>
    <row r="69" spans="2:34" x14ac:dyDescent="0.25">
      <c r="B69" s="9"/>
      <c r="C69" s="1"/>
      <c r="D69" s="1"/>
      <c r="E69" s="1"/>
      <c r="F69" s="1"/>
      <c r="G69" s="1"/>
      <c r="H69" s="1"/>
      <c r="I69" s="38"/>
      <c r="J69" s="38"/>
      <c r="K69" s="38"/>
      <c r="L69" s="38"/>
      <c r="M69" s="38"/>
      <c r="N69" s="38"/>
      <c r="O69" s="38"/>
      <c r="P69" s="38"/>
      <c r="Q69" s="37"/>
      <c r="R69" s="37"/>
      <c r="S69" s="37"/>
      <c r="T69" s="37"/>
      <c r="U69" s="37"/>
      <c r="V69" s="37"/>
      <c r="W69" s="37"/>
      <c r="X69" s="37"/>
      <c r="Y69" s="37"/>
      <c r="Z69" s="37"/>
      <c r="AA69" s="37"/>
      <c r="AB69" s="37"/>
      <c r="AC69" s="37"/>
      <c r="AD69" s="37"/>
      <c r="AE69" s="37"/>
      <c r="AF69" s="37"/>
      <c r="AG69" s="37"/>
      <c r="AH69" s="37"/>
    </row>
    <row r="70" spans="2:34" x14ac:dyDescent="0.25">
      <c r="B70" s="9"/>
      <c r="C70" s="1"/>
      <c r="D70" s="1"/>
      <c r="E70" s="1"/>
      <c r="F70" s="1"/>
      <c r="G70" s="1"/>
      <c r="H70" s="1"/>
      <c r="I70" s="38"/>
      <c r="J70" s="38"/>
      <c r="K70" s="38"/>
      <c r="L70" s="38"/>
      <c r="M70" s="38"/>
      <c r="N70" s="38"/>
      <c r="O70" s="38"/>
      <c r="P70" s="38"/>
      <c r="Q70" s="37"/>
      <c r="R70" s="37"/>
      <c r="S70" s="37"/>
      <c r="T70" s="37"/>
      <c r="U70" s="37"/>
      <c r="V70" s="37"/>
      <c r="W70" s="37"/>
      <c r="X70" s="37"/>
      <c r="Y70" s="37"/>
      <c r="Z70" s="37"/>
      <c r="AA70" s="37"/>
      <c r="AB70" s="37"/>
      <c r="AC70" s="37"/>
      <c r="AD70" s="37"/>
      <c r="AE70" s="37"/>
      <c r="AF70" s="37"/>
      <c r="AG70" s="37"/>
      <c r="AH70" s="37"/>
    </row>
    <row r="71" spans="2:34" x14ac:dyDescent="0.25">
      <c r="B71" s="9"/>
      <c r="C71" s="1"/>
      <c r="D71" s="1"/>
      <c r="E71" s="1"/>
      <c r="F71" s="1"/>
      <c r="G71" s="1"/>
      <c r="H71" s="1"/>
      <c r="I71" s="38"/>
      <c r="J71" s="38"/>
      <c r="K71" s="38"/>
      <c r="L71" s="38"/>
      <c r="M71" s="38"/>
      <c r="N71" s="38"/>
      <c r="O71" s="38"/>
      <c r="P71" s="38"/>
      <c r="Q71" s="37"/>
      <c r="R71" s="37"/>
      <c r="S71" s="37"/>
      <c r="T71" s="37"/>
      <c r="U71" s="37"/>
      <c r="V71" s="37"/>
      <c r="W71" s="37"/>
      <c r="X71" s="37"/>
      <c r="Y71" s="37"/>
      <c r="Z71" s="37"/>
      <c r="AA71" s="37"/>
      <c r="AB71" s="37"/>
      <c r="AC71" s="37"/>
      <c r="AD71" s="37"/>
      <c r="AE71" s="37"/>
      <c r="AF71" s="37"/>
      <c r="AG71" s="37"/>
      <c r="AH71" s="37"/>
    </row>
    <row r="72" spans="2:34" x14ac:dyDescent="0.25">
      <c r="B72" s="9"/>
      <c r="C72" s="1"/>
      <c r="D72" s="1"/>
      <c r="E72" s="1"/>
      <c r="F72" s="1"/>
      <c r="G72" s="1"/>
      <c r="H72" s="1"/>
      <c r="I72" s="38"/>
      <c r="J72" s="38"/>
      <c r="K72" s="38"/>
      <c r="L72" s="38"/>
      <c r="M72" s="38"/>
      <c r="N72" s="38"/>
      <c r="O72" s="38"/>
      <c r="P72" s="38"/>
      <c r="Q72" s="37"/>
      <c r="R72" s="37"/>
      <c r="S72" s="37"/>
      <c r="T72" s="37"/>
      <c r="U72" s="37"/>
      <c r="V72" s="37"/>
      <c r="W72" s="37"/>
      <c r="X72" s="37"/>
      <c r="Y72" s="37"/>
      <c r="Z72" s="37"/>
      <c r="AA72" s="37"/>
      <c r="AB72" s="37"/>
      <c r="AC72" s="37"/>
      <c r="AD72" s="37"/>
      <c r="AE72" s="37"/>
      <c r="AF72" s="37"/>
      <c r="AG72" s="37"/>
      <c r="AH72" s="37"/>
    </row>
    <row r="73" spans="2:34" x14ac:dyDescent="0.25">
      <c r="B73" s="9"/>
      <c r="C73" s="1"/>
      <c r="D73" s="1"/>
      <c r="E73" s="1"/>
      <c r="F73" s="1"/>
      <c r="G73" s="1"/>
      <c r="H73" s="1"/>
      <c r="I73" s="38"/>
      <c r="J73" s="38"/>
      <c r="K73" s="38"/>
      <c r="L73" s="38"/>
      <c r="M73" s="38"/>
      <c r="N73" s="38"/>
      <c r="O73" s="38"/>
      <c r="P73" s="38"/>
      <c r="Q73" s="37"/>
      <c r="R73" s="37"/>
      <c r="S73" s="37"/>
      <c r="T73" s="37"/>
      <c r="U73" s="37"/>
      <c r="V73" s="37"/>
      <c r="W73" s="37"/>
      <c r="X73" s="37"/>
      <c r="Y73" s="37"/>
      <c r="Z73" s="37"/>
      <c r="AA73" s="37"/>
      <c r="AB73" s="37"/>
      <c r="AC73" s="37"/>
      <c r="AD73" s="37"/>
      <c r="AE73" s="37"/>
      <c r="AF73" s="37"/>
      <c r="AG73" s="37"/>
      <c r="AH73" s="37"/>
    </row>
    <row r="74" spans="2:34" x14ac:dyDescent="0.25">
      <c r="B74" s="9"/>
      <c r="C74" s="1"/>
      <c r="D74" s="1"/>
      <c r="E74" s="1"/>
      <c r="F74" s="1"/>
      <c r="G74" s="1"/>
      <c r="H74" s="1"/>
      <c r="I74" s="38"/>
      <c r="J74" s="38"/>
      <c r="K74" s="38"/>
      <c r="L74" s="38"/>
      <c r="M74" s="38"/>
      <c r="N74" s="38"/>
      <c r="O74" s="38"/>
      <c r="P74" s="38"/>
      <c r="Q74" s="37"/>
      <c r="R74" s="37"/>
      <c r="S74" s="37"/>
      <c r="T74" s="37"/>
      <c r="U74" s="37"/>
      <c r="V74" s="37"/>
      <c r="W74" s="37"/>
      <c r="X74" s="37"/>
      <c r="Y74" s="37"/>
      <c r="Z74" s="37"/>
      <c r="AA74" s="37"/>
      <c r="AB74" s="37"/>
      <c r="AC74" s="37"/>
      <c r="AD74" s="37"/>
      <c r="AE74" s="37"/>
      <c r="AF74" s="37"/>
      <c r="AG74" s="37"/>
      <c r="AH74" s="37"/>
    </row>
    <row r="75" spans="2:34" x14ac:dyDescent="0.25">
      <c r="B75" s="9"/>
      <c r="C75" s="1"/>
      <c r="D75" s="1"/>
      <c r="E75" s="1"/>
      <c r="F75" s="1"/>
      <c r="G75" s="1"/>
      <c r="H75" s="1"/>
      <c r="I75" s="38"/>
      <c r="J75" s="38"/>
      <c r="K75" s="38"/>
      <c r="L75" s="38"/>
      <c r="M75" s="38"/>
      <c r="N75" s="38"/>
      <c r="O75" s="38"/>
      <c r="P75" s="38"/>
      <c r="Q75" s="37"/>
      <c r="R75" s="37"/>
      <c r="S75" s="37"/>
      <c r="T75" s="37"/>
      <c r="U75" s="37"/>
      <c r="V75" s="37"/>
      <c r="W75" s="37"/>
      <c r="X75" s="37"/>
      <c r="Y75" s="37"/>
      <c r="Z75" s="37"/>
      <c r="AA75" s="37"/>
      <c r="AB75" s="37"/>
      <c r="AC75" s="37"/>
      <c r="AD75" s="37"/>
      <c r="AE75" s="37"/>
      <c r="AF75" s="37"/>
      <c r="AG75" s="37"/>
      <c r="AH75" s="37"/>
    </row>
    <row r="76" spans="2:34" x14ac:dyDescent="0.25">
      <c r="B76" s="9"/>
      <c r="C76" s="1"/>
      <c r="D76" s="1"/>
      <c r="E76" s="1"/>
      <c r="F76" s="1"/>
      <c r="G76" s="1"/>
      <c r="H76" s="1"/>
      <c r="I76" s="38"/>
      <c r="J76" s="38"/>
      <c r="K76" s="38"/>
      <c r="L76" s="38"/>
      <c r="M76" s="38"/>
      <c r="N76" s="38"/>
      <c r="O76" s="38"/>
      <c r="P76" s="38"/>
      <c r="Q76" s="37"/>
      <c r="R76" s="37"/>
      <c r="S76" s="37"/>
      <c r="T76" s="37"/>
      <c r="U76" s="37"/>
      <c r="V76" s="37"/>
      <c r="W76" s="37"/>
      <c r="X76" s="37"/>
      <c r="Y76" s="37"/>
      <c r="Z76" s="37"/>
      <c r="AA76" s="37"/>
      <c r="AB76" s="37"/>
      <c r="AC76" s="37"/>
      <c r="AD76" s="37"/>
      <c r="AE76" s="37"/>
      <c r="AF76" s="37"/>
      <c r="AG76" s="37"/>
      <c r="AH76" s="37"/>
    </row>
    <row r="77" spans="2:34" x14ac:dyDescent="0.25">
      <c r="B77" s="9"/>
      <c r="C77" s="1"/>
      <c r="D77" s="1"/>
      <c r="E77" s="1"/>
      <c r="F77" s="1"/>
      <c r="G77" s="1"/>
      <c r="H77" s="1"/>
      <c r="I77" s="38"/>
      <c r="J77" s="38"/>
      <c r="K77" s="38"/>
      <c r="L77" s="38"/>
      <c r="M77" s="38"/>
      <c r="N77" s="38"/>
      <c r="O77" s="38"/>
      <c r="P77" s="38"/>
      <c r="Q77" s="37"/>
      <c r="R77" s="37"/>
      <c r="S77" s="37"/>
      <c r="T77" s="37"/>
      <c r="U77" s="37"/>
      <c r="V77" s="37"/>
      <c r="W77" s="37"/>
      <c r="X77" s="37"/>
      <c r="Y77" s="37"/>
      <c r="Z77" s="37"/>
      <c r="AA77" s="37"/>
      <c r="AB77" s="37"/>
      <c r="AC77" s="37"/>
      <c r="AD77" s="37"/>
      <c r="AE77" s="37"/>
      <c r="AF77" s="37"/>
      <c r="AG77" s="37"/>
      <c r="AH77" s="37"/>
    </row>
    <row r="78" spans="2:34" x14ac:dyDescent="0.25">
      <c r="B78" s="9"/>
      <c r="C78" s="1"/>
      <c r="D78" s="1"/>
      <c r="E78" s="1"/>
      <c r="F78" s="1"/>
      <c r="G78" s="1"/>
      <c r="H78" s="1"/>
      <c r="I78" s="38"/>
      <c r="J78" s="38"/>
      <c r="K78" s="38"/>
      <c r="L78" s="38"/>
      <c r="M78" s="38"/>
      <c r="N78" s="38"/>
      <c r="O78" s="38"/>
      <c r="P78" s="38"/>
      <c r="Q78" s="37"/>
      <c r="R78" s="37"/>
      <c r="S78" s="37"/>
      <c r="T78" s="37"/>
      <c r="U78" s="37"/>
      <c r="V78" s="37"/>
      <c r="W78" s="37"/>
      <c r="X78" s="37"/>
      <c r="Y78" s="37"/>
      <c r="Z78" s="37"/>
      <c r="AA78" s="37"/>
      <c r="AB78" s="37"/>
      <c r="AC78" s="37"/>
      <c r="AD78" s="37"/>
      <c r="AE78" s="37"/>
      <c r="AF78" s="37"/>
      <c r="AG78" s="37"/>
      <c r="AH78" s="37"/>
    </row>
    <row r="79" spans="2:34" x14ac:dyDescent="0.25">
      <c r="B79" s="9"/>
      <c r="C79" s="1"/>
      <c r="D79" s="1"/>
      <c r="E79" s="1"/>
      <c r="F79" s="1"/>
      <c r="G79" s="1"/>
      <c r="H79" s="1"/>
      <c r="I79" s="38"/>
      <c r="J79" s="38"/>
      <c r="K79" s="38"/>
      <c r="L79" s="38"/>
      <c r="M79" s="38"/>
      <c r="N79" s="38"/>
      <c r="O79" s="38"/>
      <c r="P79" s="38"/>
      <c r="Q79" s="37"/>
      <c r="R79" s="37"/>
      <c r="S79" s="37"/>
      <c r="T79" s="37"/>
      <c r="U79" s="37"/>
      <c r="V79" s="37"/>
      <c r="W79" s="37"/>
      <c r="X79" s="37"/>
      <c r="Y79" s="37"/>
      <c r="Z79" s="37"/>
      <c r="AA79" s="37"/>
      <c r="AB79" s="37"/>
      <c r="AC79" s="37"/>
      <c r="AD79" s="37"/>
      <c r="AE79" s="37"/>
      <c r="AF79" s="37"/>
      <c r="AG79" s="37"/>
      <c r="AH79" s="37"/>
    </row>
    <row r="80" spans="2:34" x14ac:dyDescent="0.25">
      <c r="B80" s="9"/>
      <c r="C80" s="1"/>
      <c r="D80" s="1"/>
      <c r="E80" s="1"/>
      <c r="F80" s="1"/>
      <c r="G80" s="1"/>
      <c r="H80" s="1"/>
      <c r="I80" s="38"/>
      <c r="J80" s="38"/>
      <c r="K80" s="38"/>
      <c r="L80" s="38"/>
      <c r="M80" s="38"/>
      <c r="N80" s="38"/>
      <c r="O80" s="38"/>
      <c r="P80" s="38"/>
      <c r="Q80" s="37"/>
      <c r="R80" s="37"/>
      <c r="S80" s="37"/>
      <c r="T80" s="37"/>
      <c r="U80" s="37"/>
      <c r="V80" s="37"/>
      <c r="W80" s="37"/>
      <c r="X80" s="37"/>
      <c r="Y80" s="37"/>
      <c r="Z80" s="37"/>
      <c r="AA80" s="37"/>
      <c r="AB80" s="37"/>
      <c r="AC80" s="37"/>
      <c r="AD80" s="37"/>
      <c r="AE80" s="37"/>
      <c r="AF80" s="37"/>
      <c r="AG80" s="37"/>
      <c r="AH80" s="37"/>
    </row>
    <row r="81" spans="2:34" x14ac:dyDescent="0.25">
      <c r="B81" s="9"/>
      <c r="C81" s="1"/>
      <c r="D81" s="1"/>
      <c r="E81" s="1"/>
      <c r="F81" s="1"/>
      <c r="G81" s="1"/>
      <c r="H81" s="1"/>
      <c r="I81" s="38"/>
      <c r="J81" s="38"/>
      <c r="K81" s="38"/>
      <c r="L81" s="38"/>
      <c r="M81" s="38"/>
      <c r="N81" s="38"/>
      <c r="O81" s="38"/>
      <c r="P81" s="38"/>
      <c r="Q81" s="37"/>
      <c r="R81" s="37"/>
      <c r="S81" s="37"/>
      <c r="T81" s="37"/>
      <c r="U81" s="37"/>
      <c r="V81" s="37"/>
      <c r="W81" s="37"/>
      <c r="X81" s="37"/>
      <c r="Y81" s="37"/>
      <c r="Z81" s="37"/>
      <c r="AA81" s="37"/>
      <c r="AB81" s="37"/>
      <c r="AC81" s="37"/>
      <c r="AD81" s="37"/>
      <c r="AE81" s="37"/>
      <c r="AF81" s="37"/>
      <c r="AG81" s="37"/>
      <c r="AH81" s="37"/>
    </row>
    <row r="82" spans="2:34" x14ac:dyDescent="0.25">
      <c r="B82" s="9"/>
      <c r="C82" s="1"/>
      <c r="D82" s="1"/>
      <c r="E82" s="1"/>
      <c r="F82" s="1"/>
      <c r="G82" s="1"/>
      <c r="H82" s="1"/>
      <c r="I82" s="38"/>
      <c r="J82" s="38"/>
      <c r="K82" s="38"/>
      <c r="L82" s="38"/>
      <c r="M82" s="38"/>
      <c r="N82" s="38"/>
      <c r="O82" s="38"/>
      <c r="P82" s="38"/>
      <c r="Q82" s="37"/>
      <c r="R82" s="37"/>
      <c r="S82" s="37"/>
      <c r="T82" s="37"/>
      <c r="U82" s="37"/>
      <c r="V82" s="37"/>
      <c r="W82" s="37"/>
      <c r="X82" s="37"/>
      <c r="Y82" s="37"/>
      <c r="Z82" s="37"/>
      <c r="AA82" s="37"/>
      <c r="AB82" s="37"/>
      <c r="AC82" s="37"/>
      <c r="AD82" s="37"/>
      <c r="AE82" s="37"/>
      <c r="AF82" s="37"/>
      <c r="AG82" s="37"/>
      <c r="AH82" s="37"/>
    </row>
    <row r="83" spans="2:34" x14ac:dyDescent="0.25">
      <c r="B83" s="9"/>
      <c r="C83" s="1"/>
      <c r="D83" s="1"/>
      <c r="E83" s="1"/>
      <c r="F83" s="1"/>
      <c r="G83" s="1"/>
      <c r="H83" s="1"/>
      <c r="I83" s="38"/>
      <c r="J83" s="38"/>
      <c r="K83" s="38"/>
      <c r="L83" s="38"/>
      <c r="M83" s="38"/>
      <c r="N83" s="38"/>
      <c r="O83" s="38"/>
      <c r="P83" s="38"/>
      <c r="Q83" s="37"/>
      <c r="R83" s="37"/>
      <c r="S83" s="37"/>
      <c r="T83" s="37"/>
      <c r="U83" s="37"/>
      <c r="V83" s="37"/>
      <c r="W83" s="37"/>
      <c r="X83" s="37"/>
      <c r="Y83" s="37"/>
      <c r="Z83" s="37"/>
      <c r="AA83" s="37"/>
      <c r="AB83" s="37"/>
      <c r="AC83" s="37"/>
      <c r="AD83" s="37"/>
      <c r="AE83" s="37"/>
      <c r="AF83" s="37"/>
      <c r="AG83" s="37"/>
      <c r="AH83" s="37"/>
    </row>
    <row r="84" spans="2:34" x14ac:dyDescent="0.25">
      <c r="B84" s="9"/>
      <c r="F84" s="38"/>
      <c r="G84" s="38"/>
      <c r="H84" s="38"/>
      <c r="I84" s="38"/>
      <c r="J84" s="38"/>
      <c r="K84" s="38"/>
      <c r="L84" s="38"/>
      <c r="M84" s="38"/>
      <c r="N84" s="38"/>
      <c r="O84" s="38"/>
      <c r="P84" s="38"/>
      <c r="Q84" s="37"/>
      <c r="R84" s="37"/>
      <c r="S84" s="37"/>
      <c r="T84" s="37"/>
      <c r="U84" s="37"/>
      <c r="V84" s="37"/>
      <c r="W84" s="37"/>
      <c r="X84" s="37"/>
      <c r="Y84" s="37"/>
      <c r="Z84" s="37"/>
      <c r="AA84" s="37"/>
      <c r="AB84" s="37"/>
      <c r="AC84" s="37"/>
      <c r="AD84" s="37"/>
      <c r="AE84" s="37"/>
      <c r="AF84" s="37"/>
      <c r="AG84" s="37"/>
      <c r="AH84" s="37"/>
    </row>
    <row r="85" spans="2:34" x14ac:dyDescent="0.25">
      <c r="B85" s="9"/>
      <c r="F85" s="38"/>
      <c r="G85" s="38"/>
      <c r="H85" s="38"/>
      <c r="I85" s="38"/>
      <c r="J85" s="38"/>
      <c r="K85" s="38"/>
      <c r="L85" s="38"/>
      <c r="M85" s="38"/>
      <c r="N85" s="38"/>
      <c r="O85" s="38"/>
      <c r="P85" s="38"/>
      <c r="Q85" s="37"/>
      <c r="R85" s="37"/>
      <c r="S85" s="37"/>
      <c r="T85" s="37"/>
      <c r="U85" s="37"/>
      <c r="V85" s="37"/>
      <c r="W85" s="37"/>
      <c r="X85" s="37"/>
      <c r="Y85" s="37"/>
      <c r="Z85" s="37"/>
      <c r="AA85" s="37"/>
      <c r="AB85" s="37"/>
      <c r="AC85" s="37"/>
      <c r="AD85" s="37"/>
      <c r="AE85" s="37"/>
      <c r="AF85" s="37"/>
      <c r="AG85" s="37"/>
      <c r="AH85" s="37"/>
    </row>
    <row r="86" spans="2:34" x14ac:dyDescent="0.25">
      <c r="B86" s="9"/>
      <c r="F86" s="38"/>
      <c r="G86" s="38"/>
      <c r="H86" s="38"/>
      <c r="I86" s="38"/>
      <c r="J86" s="38"/>
      <c r="K86" s="38"/>
      <c r="L86" s="38"/>
      <c r="M86" s="38"/>
      <c r="N86" s="38"/>
      <c r="O86" s="38"/>
      <c r="P86" s="38"/>
      <c r="Q86" s="37"/>
      <c r="R86" s="37"/>
      <c r="S86" s="37"/>
      <c r="T86" s="37"/>
      <c r="U86" s="37"/>
      <c r="V86" s="37"/>
      <c r="W86" s="37"/>
      <c r="X86" s="37"/>
      <c r="Y86" s="37"/>
      <c r="Z86" s="37"/>
      <c r="AA86" s="37"/>
      <c r="AB86" s="37"/>
      <c r="AC86" s="37"/>
      <c r="AD86" s="37"/>
      <c r="AE86" s="37"/>
      <c r="AF86" s="37"/>
      <c r="AG86" s="37"/>
      <c r="AH86" s="37"/>
    </row>
    <row r="87" spans="2:34" x14ac:dyDescent="0.25">
      <c r="B87" s="9"/>
      <c r="F87" s="38"/>
      <c r="G87" s="38"/>
      <c r="H87" s="38"/>
      <c r="I87" s="38"/>
      <c r="J87" s="38"/>
      <c r="K87" s="38"/>
      <c r="L87" s="38"/>
      <c r="M87" s="38"/>
      <c r="N87" s="38"/>
      <c r="O87" s="38"/>
      <c r="P87" s="38"/>
      <c r="Q87" s="37"/>
      <c r="R87" s="37"/>
      <c r="S87" s="37"/>
      <c r="T87" s="37"/>
      <c r="U87" s="37"/>
      <c r="V87" s="37"/>
      <c r="W87" s="37"/>
      <c r="X87" s="37"/>
      <c r="Y87" s="37"/>
      <c r="Z87" s="37"/>
      <c r="AA87" s="37"/>
      <c r="AB87" s="37"/>
      <c r="AC87" s="37"/>
      <c r="AD87" s="37"/>
      <c r="AE87" s="37"/>
      <c r="AF87" s="37"/>
      <c r="AG87" s="37"/>
      <c r="AH87" s="37"/>
    </row>
    <row r="88" spans="2:34" x14ac:dyDescent="0.25">
      <c r="B88" s="9"/>
      <c r="F88" s="38"/>
      <c r="G88" s="38"/>
      <c r="H88" s="38"/>
      <c r="I88" s="38"/>
      <c r="J88" s="38"/>
      <c r="K88" s="38"/>
      <c r="L88" s="38"/>
      <c r="M88" s="38"/>
      <c r="N88" s="38"/>
      <c r="O88" s="38"/>
      <c r="P88" s="38"/>
      <c r="Q88" s="37"/>
      <c r="R88" s="37"/>
      <c r="S88" s="37"/>
      <c r="T88" s="37"/>
      <c r="U88" s="37"/>
      <c r="V88" s="37"/>
      <c r="W88" s="37"/>
      <c r="X88" s="37"/>
      <c r="Y88" s="37"/>
      <c r="Z88" s="37"/>
      <c r="AA88" s="37"/>
      <c r="AB88" s="37"/>
      <c r="AC88" s="37"/>
      <c r="AD88" s="37"/>
      <c r="AE88" s="37"/>
      <c r="AF88" s="37"/>
      <c r="AG88" s="37"/>
      <c r="AH88" s="37"/>
    </row>
    <row r="89" spans="2:34" x14ac:dyDescent="0.25">
      <c r="B89" s="9"/>
      <c r="F89" s="38"/>
      <c r="G89" s="38"/>
      <c r="H89" s="38"/>
      <c r="I89" s="38"/>
      <c r="J89" s="38"/>
      <c r="K89" s="38"/>
      <c r="L89" s="38"/>
      <c r="M89" s="38"/>
      <c r="N89" s="38"/>
      <c r="O89" s="38"/>
      <c r="P89" s="38"/>
      <c r="Q89" s="37"/>
      <c r="R89" s="37"/>
      <c r="S89" s="37"/>
      <c r="T89" s="37"/>
      <c r="U89" s="37"/>
      <c r="V89" s="37"/>
      <c r="W89" s="37"/>
      <c r="X89" s="37"/>
      <c r="Y89" s="37"/>
      <c r="Z89" s="37"/>
      <c r="AA89" s="37"/>
      <c r="AB89" s="37"/>
      <c r="AC89" s="37"/>
      <c r="AD89" s="37"/>
      <c r="AE89" s="37"/>
      <c r="AF89" s="37"/>
      <c r="AG89" s="37"/>
      <c r="AH89" s="37"/>
    </row>
    <row r="90" spans="2:34" ht="15" customHeight="1" x14ac:dyDescent="0.25">
      <c r="B90" s="9"/>
      <c r="F90" s="37"/>
      <c r="G90" s="37"/>
      <c r="H90" s="37"/>
      <c r="I90" s="37"/>
      <c r="J90" s="38"/>
      <c r="K90" s="38"/>
      <c r="L90" s="37"/>
      <c r="M90" s="37"/>
      <c r="N90" s="38"/>
      <c r="O90" s="37"/>
      <c r="P90" s="37"/>
      <c r="Q90" s="37"/>
      <c r="R90" s="37"/>
      <c r="S90" s="37"/>
      <c r="T90" s="37"/>
      <c r="U90" s="37"/>
      <c r="V90" s="37"/>
      <c r="W90" s="37"/>
      <c r="X90" s="37"/>
      <c r="Y90" s="37"/>
      <c r="Z90" s="37"/>
      <c r="AA90" s="37"/>
      <c r="AB90" s="37"/>
      <c r="AC90" s="37"/>
      <c r="AD90" s="37"/>
      <c r="AE90" s="37"/>
      <c r="AF90" s="37"/>
      <c r="AG90" s="37"/>
      <c r="AH90" s="37"/>
    </row>
    <row r="91" spans="2:34" ht="15" customHeight="1" x14ac:dyDescent="0.25">
      <c r="B91" s="9"/>
      <c r="C91" s="7" t="s">
        <v>56</v>
      </c>
      <c r="D91" s="7" t="s">
        <v>257</v>
      </c>
      <c r="E91" s="8" t="s">
        <v>72</v>
      </c>
      <c r="F91" s="37"/>
      <c r="G91" s="37"/>
      <c r="H91" s="37"/>
      <c r="I91" s="37"/>
      <c r="J91" s="38"/>
      <c r="K91" s="38"/>
      <c r="L91" s="37"/>
      <c r="M91" s="37"/>
      <c r="N91" s="38"/>
      <c r="O91" s="37"/>
      <c r="P91" s="37"/>
      <c r="Q91" s="37"/>
      <c r="R91" s="37"/>
      <c r="S91" s="37"/>
      <c r="T91" s="37"/>
      <c r="U91" s="37"/>
      <c r="V91" s="37"/>
      <c r="W91" s="37"/>
      <c r="X91" s="37"/>
      <c r="Y91" s="37"/>
      <c r="Z91" s="37"/>
      <c r="AA91" s="37"/>
      <c r="AB91" s="37"/>
      <c r="AC91" s="37"/>
      <c r="AD91" s="37"/>
      <c r="AE91" s="37"/>
      <c r="AF91" s="37"/>
      <c r="AG91" s="37"/>
      <c r="AH91" s="37"/>
    </row>
    <row r="92" spans="2:34" ht="15" customHeight="1" x14ac:dyDescent="0.25">
      <c r="B92" s="9"/>
      <c r="C92" s="40" t="s">
        <v>57</v>
      </c>
      <c r="D92" s="40" t="s">
        <v>258</v>
      </c>
      <c r="E92" s="41">
        <v>50</v>
      </c>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2:34" ht="15" customHeight="1" x14ac:dyDescent="0.25">
      <c r="B93" s="9"/>
      <c r="C93" s="40" t="s">
        <v>58</v>
      </c>
      <c r="D93" s="40" t="s">
        <v>259</v>
      </c>
      <c r="E93" s="41">
        <v>20</v>
      </c>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row>
    <row r="94" spans="2:34" ht="15" customHeight="1" x14ac:dyDescent="0.25">
      <c r="B94" s="9"/>
      <c r="C94" s="40" t="s">
        <v>59</v>
      </c>
      <c r="D94" s="40" t="s">
        <v>260</v>
      </c>
      <c r="E94" s="41">
        <v>60</v>
      </c>
      <c r="H94" s="38"/>
      <c r="I94" s="38"/>
      <c r="J94" s="38"/>
      <c r="K94" s="38"/>
      <c r="L94" s="37"/>
      <c r="M94" s="37"/>
      <c r="N94" s="37"/>
      <c r="O94" s="37"/>
      <c r="P94" s="37"/>
      <c r="Q94" s="37"/>
      <c r="R94" s="37"/>
      <c r="S94" s="37"/>
      <c r="T94" s="37"/>
      <c r="U94" s="37"/>
      <c r="V94" s="37"/>
      <c r="W94" s="37"/>
      <c r="X94" s="37"/>
      <c r="Y94" s="37"/>
      <c r="Z94" s="37"/>
      <c r="AA94" s="37"/>
      <c r="AB94" s="37"/>
      <c r="AC94" s="37"/>
      <c r="AD94" s="37"/>
      <c r="AE94" s="37"/>
      <c r="AF94" s="37"/>
      <c r="AG94" s="37"/>
      <c r="AH94" s="37"/>
    </row>
    <row r="95" spans="2:34" ht="15" customHeight="1" x14ac:dyDescent="0.25">
      <c r="B95" s="9"/>
      <c r="C95" s="40" t="s">
        <v>60</v>
      </c>
      <c r="D95" s="40" t="s">
        <v>261</v>
      </c>
      <c r="E95" s="41">
        <v>40</v>
      </c>
      <c r="H95" s="38"/>
      <c r="I95" s="38"/>
      <c r="J95" s="38"/>
      <c r="K95" s="38"/>
      <c r="L95" s="37"/>
      <c r="M95" s="37"/>
      <c r="N95" s="37"/>
      <c r="O95" s="37"/>
      <c r="P95" s="37"/>
      <c r="Q95" s="37"/>
      <c r="R95" s="37"/>
      <c r="S95" s="37"/>
      <c r="T95" s="37"/>
      <c r="U95" s="37"/>
      <c r="V95" s="37"/>
      <c r="W95" s="37"/>
      <c r="X95" s="37"/>
      <c r="Y95" s="37"/>
      <c r="Z95" s="37"/>
      <c r="AA95" s="37"/>
      <c r="AB95" s="37"/>
      <c r="AC95" s="37"/>
      <c r="AD95" s="37"/>
      <c r="AE95" s="37"/>
      <c r="AF95" s="37"/>
      <c r="AG95" s="37"/>
      <c r="AH95" s="37"/>
    </row>
    <row r="96" spans="2:34" ht="15" customHeight="1" x14ac:dyDescent="0.25">
      <c r="B96" s="9"/>
      <c r="C96" s="40" t="s">
        <v>57</v>
      </c>
      <c r="D96" s="40" t="s">
        <v>262</v>
      </c>
      <c r="E96" s="41">
        <v>50</v>
      </c>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row>
    <row r="97" spans="2:34" x14ac:dyDescent="0.25">
      <c r="B97" s="9"/>
      <c r="C97" s="40" t="s">
        <v>58</v>
      </c>
      <c r="D97" s="40" t="s">
        <v>263</v>
      </c>
      <c r="E97" s="41">
        <v>20</v>
      </c>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row>
    <row r="98" spans="2:34" x14ac:dyDescent="0.25">
      <c r="B98" s="9"/>
      <c r="C98" s="40" t="s">
        <v>59</v>
      </c>
      <c r="D98" s="40" t="s">
        <v>264</v>
      </c>
      <c r="E98" s="41">
        <v>60</v>
      </c>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row>
    <row r="99" spans="2:34" x14ac:dyDescent="0.25">
      <c r="B99" s="9"/>
      <c r="C99" s="40" t="s">
        <v>60</v>
      </c>
      <c r="D99" s="40" t="s">
        <v>265</v>
      </c>
      <c r="E99" s="41">
        <v>40</v>
      </c>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row>
    <row r="100" spans="2:34" x14ac:dyDescent="0.25">
      <c r="B100" s="9"/>
      <c r="C100" s="40" t="s">
        <v>57</v>
      </c>
      <c r="D100" s="40" t="s">
        <v>262</v>
      </c>
      <c r="E100" s="41">
        <v>50</v>
      </c>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row>
    <row r="101" spans="2:34" x14ac:dyDescent="0.25">
      <c r="B101" s="9"/>
      <c r="C101" s="40" t="s">
        <v>58</v>
      </c>
      <c r="D101" s="40" t="s">
        <v>263</v>
      </c>
      <c r="E101" s="41">
        <v>20</v>
      </c>
      <c r="F101" s="37"/>
      <c r="G101" s="37"/>
    </row>
    <row r="102" spans="2:34" ht="15" customHeight="1" x14ac:dyDescent="0.25">
      <c r="B102" s="9"/>
      <c r="C102" s="40" t="s">
        <v>59</v>
      </c>
      <c r="D102" s="40" t="s">
        <v>260</v>
      </c>
      <c r="E102" s="41">
        <v>60</v>
      </c>
      <c r="F102" s="37"/>
      <c r="G102" s="37"/>
    </row>
    <row r="103" spans="2:34" ht="15" customHeight="1" x14ac:dyDescent="0.25">
      <c r="B103" s="9"/>
      <c r="C103" s="40" t="s">
        <v>60</v>
      </c>
      <c r="D103" s="40" t="s">
        <v>265</v>
      </c>
      <c r="E103" s="41">
        <v>40</v>
      </c>
      <c r="F103" s="37"/>
      <c r="G103" s="37"/>
    </row>
    <row r="104" spans="2:34" ht="15" customHeight="1" x14ac:dyDescent="0.25">
      <c r="B104" s="9"/>
      <c r="C104" s="38"/>
      <c r="D104" s="38"/>
      <c r="E104" s="39"/>
    </row>
    <row r="105" spans="2:34" ht="15" customHeight="1" thickBot="1" x14ac:dyDescent="0.3">
      <c r="B105" s="9"/>
      <c r="C105" s="38" t="s">
        <v>56</v>
      </c>
      <c r="D105" s="38" t="s">
        <v>257</v>
      </c>
      <c r="E105" s="23" t="s">
        <v>266</v>
      </c>
    </row>
    <row r="106" spans="2:34" ht="15" customHeight="1" thickTop="1" thickBot="1" x14ac:dyDescent="0.3">
      <c r="B106" s="9"/>
      <c r="C106" s="46" t="s">
        <v>60</v>
      </c>
      <c r="D106" s="46" t="s">
        <v>265</v>
      </c>
      <c r="E106" s="42">
        <f>AVERAGEIFS(E92:E103,C92:C103,C106,D92:D103,D106)</f>
        <v>40</v>
      </c>
    </row>
    <row r="107" spans="2:34" ht="15" customHeight="1" thickTop="1" x14ac:dyDescent="0.25">
      <c r="B107" s="9"/>
      <c r="E107" s="37"/>
    </row>
    <row r="108" spans="2:34" x14ac:dyDescent="0.25">
      <c r="E108" s="37"/>
    </row>
    <row r="109" spans="2:34" x14ac:dyDescent="0.25">
      <c r="E109" s="37"/>
    </row>
    <row r="110" spans="2:34" x14ac:dyDescent="0.25">
      <c r="E110" s="37"/>
    </row>
    <row r="117" spans="3:4" x14ac:dyDescent="0.25">
      <c r="C117" s="7" t="s">
        <v>62</v>
      </c>
      <c r="D117" s="8" t="s">
        <v>72</v>
      </c>
    </row>
    <row r="118" spans="3:4" x14ac:dyDescent="0.25">
      <c r="C118" s="13" t="s">
        <v>63</v>
      </c>
      <c r="D118" s="13">
        <v>50</v>
      </c>
    </row>
    <row r="119" spans="3:4" x14ac:dyDescent="0.25">
      <c r="C119" s="13" t="s">
        <v>64</v>
      </c>
      <c r="D119" s="13">
        <v>100</v>
      </c>
    </row>
    <row r="120" spans="3:4" x14ac:dyDescent="0.25">
      <c r="C120" s="13" t="s">
        <v>65</v>
      </c>
      <c r="D120" s="13">
        <v>40</v>
      </c>
    </row>
    <row r="121" spans="3:4" x14ac:dyDescent="0.25">
      <c r="C121" s="13" t="s">
        <v>66</v>
      </c>
      <c r="D121" s="13">
        <v>50</v>
      </c>
    </row>
    <row r="122" spans="3:4" ht="15.75" thickBot="1" x14ac:dyDescent="0.3">
      <c r="C122" s="13" t="s">
        <v>67</v>
      </c>
      <c r="D122" s="13">
        <v>20</v>
      </c>
    </row>
    <row r="123" spans="3:4" ht="16.5" thickTop="1" thickBot="1" x14ac:dyDescent="0.3">
      <c r="C123" s="51"/>
      <c r="D123" s="52">
        <f>SUMIF(D118:D122,"&gt;=50")</f>
        <v>200</v>
      </c>
    </row>
    <row r="124" spans="3:4" ht="15.75" thickTop="1" x14ac:dyDescent="0.25"/>
  </sheetData>
  <dataValidations count="2">
    <dataValidation type="list" allowBlank="1" showInputMessage="1" showErrorMessage="1" sqref="C17 F64 F17 C64 C106" xr:uid="{00000000-0002-0000-0900-000000000000}">
      <formula1>lst_Fruit</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orientation="landscape"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10" sqref="D10"/>
    </sheetView>
  </sheetViews>
  <sheetFormatPr defaultRowHeight="15" x14ac:dyDescent="0.25"/>
  <cols>
    <col min="1" max="1" width="13" customWidth="1"/>
    <col min="2" max="2" width="82.85546875" customWidth="1"/>
    <col min="3" max="4" width="13.140625" customWidth="1"/>
  </cols>
  <sheetData>
    <row r="1" spans="1:4" ht="60" customHeight="1" x14ac:dyDescent="0.25">
      <c r="A1" s="25" t="s">
        <v>269</v>
      </c>
      <c r="C1" s="69"/>
      <c r="D1" s="81"/>
    </row>
    <row r="2" spans="1:4" x14ac:dyDescent="0.25">
      <c r="A2" s="25" t="s">
        <v>270</v>
      </c>
    </row>
    <row r="3" spans="1:4" ht="15" customHeight="1" x14ac:dyDescent="0.25">
      <c r="A3" s="27" t="s">
        <v>271</v>
      </c>
    </row>
    <row r="4" spans="1:4" ht="15" customHeight="1" x14ac:dyDescent="0.25">
      <c r="A4" s="27" t="s">
        <v>272</v>
      </c>
      <c r="C4" s="31" t="s">
        <v>56</v>
      </c>
      <c r="D4" s="29" t="s">
        <v>72</v>
      </c>
    </row>
    <row r="5" spans="1:4" ht="15" customHeight="1" x14ac:dyDescent="0.25">
      <c r="A5" s="27" t="s">
        <v>273</v>
      </c>
      <c r="C5" s="40" t="s">
        <v>57</v>
      </c>
      <c r="D5" s="41">
        <v>50</v>
      </c>
    </row>
    <row r="6" spans="1:4" x14ac:dyDescent="0.25">
      <c r="A6" s="25" t="s">
        <v>274</v>
      </c>
      <c r="C6" s="40" t="s">
        <v>58</v>
      </c>
      <c r="D6" s="41">
        <v>20</v>
      </c>
    </row>
    <row r="7" spans="1:4" ht="15" customHeight="1" x14ac:dyDescent="0.25">
      <c r="A7" s="27" t="s">
        <v>275</v>
      </c>
      <c r="C7" s="40" t="s">
        <v>59</v>
      </c>
      <c r="D7" s="41">
        <v>60</v>
      </c>
    </row>
    <row r="8" spans="1:4" ht="15" customHeight="1" x14ac:dyDescent="0.25">
      <c r="A8" s="25" t="s">
        <v>22</v>
      </c>
      <c r="C8" s="40" t="s">
        <v>60</v>
      </c>
      <c r="D8" s="41">
        <v>40</v>
      </c>
    </row>
    <row r="9" spans="1:4" ht="15" customHeight="1" thickBot="1" x14ac:dyDescent="0.3">
      <c r="A9" s="25" t="s">
        <v>23</v>
      </c>
      <c r="C9" s="38"/>
      <c r="D9" s="38"/>
    </row>
    <row r="10" spans="1:4" ht="16.5" thickTop="1" thickBot="1" x14ac:dyDescent="0.3">
      <c r="A10" s="25" t="s">
        <v>24</v>
      </c>
      <c r="C10" s="54" t="s">
        <v>57</v>
      </c>
      <c r="D10" s="42">
        <f>VLOOKUP(C10,C5:D8,2,FALSE)</f>
        <v>50</v>
      </c>
    </row>
    <row r="11" spans="1:4" ht="15.75" thickTop="1" x14ac:dyDescent="0.25">
      <c r="A11" s="25" t="s">
        <v>26</v>
      </c>
    </row>
    <row r="12" spans="1:4" x14ac:dyDescent="0.25">
      <c r="A12" s="25" t="s">
        <v>276</v>
      </c>
    </row>
    <row r="13" spans="1:4" x14ac:dyDescent="0.25">
      <c r="A13" s="25" t="s">
        <v>277</v>
      </c>
    </row>
    <row r="14" spans="1:4" x14ac:dyDescent="0.25">
      <c r="A14" s="25" t="s">
        <v>29</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5" x14ac:dyDescent="0.25"/>
  <cols>
    <col min="1" max="1" width="13" customWidth="1"/>
    <col min="2" max="2" width="82.85546875" customWidth="1"/>
    <col min="3" max="4" width="13.28515625" customWidth="1"/>
  </cols>
  <sheetData>
    <row r="1" spans="1:4" ht="60" customHeight="1" x14ac:dyDescent="0.25">
      <c r="A1" s="25" t="s">
        <v>278</v>
      </c>
      <c r="C1" s="69"/>
      <c r="D1" s="86"/>
    </row>
    <row r="2" spans="1:4" ht="15" customHeight="1" x14ac:dyDescent="0.25">
      <c r="A2" s="25" t="s">
        <v>279</v>
      </c>
      <c r="C2" s="85"/>
      <c r="D2" s="85"/>
    </row>
    <row r="3" spans="1:4" x14ac:dyDescent="0.25">
      <c r="A3" s="25" t="s">
        <v>280</v>
      </c>
      <c r="C3" s="31" t="s">
        <v>56</v>
      </c>
      <c r="D3" s="29" t="s">
        <v>72</v>
      </c>
    </row>
    <row r="4" spans="1:4" x14ac:dyDescent="0.25">
      <c r="A4" s="25" t="s">
        <v>281</v>
      </c>
      <c r="C4" s="104" t="s">
        <v>57</v>
      </c>
      <c r="D4" s="105">
        <v>50</v>
      </c>
    </row>
    <row r="5" spans="1:4" x14ac:dyDescent="0.25">
      <c r="A5" s="25" t="s">
        <v>282</v>
      </c>
      <c r="C5" s="104" t="s">
        <v>58</v>
      </c>
      <c r="D5" s="105">
        <v>20</v>
      </c>
    </row>
    <row r="6" spans="1:4" x14ac:dyDescent="0.25">
      <c r="A6" s="25" t="s">
        <v>283</v>
      </c>
      <c r="C6" s="104" t="s">
        <v>59</v>
      </c>
      <c r="D6" s="105">
        <v>60</v>
      </c>
    </row>
    <row r="7" spans="1:4" ht="15" customHeight="1" x14ac:dyDescent="0.25">
      <c r="A7" s="27" t="s">
        <v>284</v>
      </c>
      <c r="C7" s="104" t="s">
        <v>60</v>
      </c>
      <c r="D7" s="105">
        <v>40</v>
      </c>
    </row>
    <row r="8" spans="1:4" ht="15.75" thickBot="1" x14ac:dyDescent="0.3">
      <c r="A8" s="25" t="s">
        <v>22</v>
      </c>
      <c r="C8" s="38"/>
      <c r="D8" s="38"/>
    </row>
    <row r="9" spans="1:4" ht="16.5" thickTop="1" thickBot="1" x14ac:dyDescent="0.3">
      <c r="A9" s="25" t="s">
        <v>23</v>
      </c>
      <c r="C9" s="84" t="s">
        <v>188</v>
      </c>
      <c r="D9" s="42" t="e">
        <f>VLOOKUP(C9,C3:D7,2,FALSE)</f>
        <v>#N/A</v>
      </c>
    </row>
    <row r="10" spans="1:4" ht="15.75" thickTop="1" x14ac:dyDescent="0.25">
      <c r="A10" s="25" t="s">
        <v>24</v>
      </c>
    </row>
    <row r="11" spans="1:4" x14ac:dyDescent="0.25">
      <c r="A11" s="25" t="s">
        <v>285</v>
      </c>
    </row>
    <row r="12" spans="1:4" x14ac:dyDescent="0.25">
      <c r="A12" s="25" t="s">
        <v>286</v>
      </c>
    </row>
    <row r="13" spans="1:4" x14ac:dyDescent="0.25">
      <c r="A13" s="25" t="s">
        <v>287</v>
      </c>
    </row>
    <row r="14" spans="1:4" x14ac:dyDescent="0.25">
      <c r="A14" s="25" t="s">
        <v>29</v>
      </c>
    </row>
    <row r="30" spans="3:4" x14ac:dyDescent="0.25">
      <c r="C30" s="31" t="s">
        <v>56</v>
      </c>
      <c r="D30" s="29" t="s">
        <v>72</v>
      </c>
    </row>
    <row r="31" spans="3:4" x14ac:dyDescent="0.25">
      <c r="C31" s="104" t="s">
        <v>57</v>
      </c>
      <c r="D31" s="105">
        <v>50</v>
      </c>
    </row>
    <row r="32" spans="3:4" x14ac:dyDescent="0.25">
      <c r="C32" s="104" t="s">
        <v>58</v>
      </c>
      <c r="D32" s="105">
        <v>20</v>
      </c>
    </row>
    <row r="33" spans="3:4" x14ac:dyDescent="0.25">
      <c r="C33" s="104" t="s">
        <v>59</v>
      </c>
      <c r="D33" s="105">
        <v>60</v>
      </c>
    </row>
    <row r="34" spans="3:4" x14ac:dyDescent="0.25">
      <c r="C34" s="104" t="s">
        <v>60</v>
      </c>
      <c r="D34" s="105">
        <v>40</v>
      </c>
    </row>
    <row r="35" spans="3:4" ht="15.75" thickBot="1" x14ac:dyDescent="0.3"/>
    <row r="36" spans="3:4" ht="16.5" thickTop="1" thickBot="1" x14ac:dyDescent="0.3">
      <c r="C36" s="84" t="s">
        <v>195</v>
      </c>
      <c r="D36" s="42" t="e">
        <f ca="1">sume(D31:D34)</f>
        <v>#NAME?</v>
      </c>
    </row>
    <row r="37" spans="3:4" ht="15.75" thickTop="1" x14ac:dyDescent="0.25"/>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6"/>
  <sheetViews>
    <sheetView showGridLines="0" topLeftCell="C5" zoomScaleNormal="100" workbookViewId="0">
      <selection activeCell="P33" sqref="P33"/>
    </sheetView>
  </sheetViews>
  <sheetFormatPr defaultColWidth="8.85546875" defaultRowHeight="15" customHeight="1" x14ac:dyDescent="0.25"/>
  <cols>
    <col min="1" max="1" width="8.85546875" style="9"/>
    <col min="2" max="2" width="95.140625" style="32" customWidth="1"/>
    <col min="3" max="16384" width="8.85546875" style="32"/>
  </cols>
  <sheetData>
    <row r="1" spans="1:2" ht="60" customHeight="1" x14ac:dyDescent="0.25">
      <c r="A1" s="9" t="s">
        <v>288</v>
      </c>
    </row>
    <row r="2" spans="1:2" s="33" customFormat="1" ht="15" customHeight="1" x14ac:dyDescent="0.3">
      <c r="A2" s="9" t="s">
        <v>302</v>
      </c>
      <c r="B2" s="32"/>
    </row>
    <row r="3" spans="1:2" s="33" customFormat="1" ht="15" customHeight="1" x14ac:dyDescent="0.3">
      <c r="A3" s="9" t="s">
        <v>289</v>
      </c>
      <c r="B3" s="32"/>
    </row>
    <row r="4" spans="1:2" s="34" customFormat="1" ht="15" customHeight="1" x14ac:dyDescent="0.7">
      <c r="A4" s="36" t="s">
        <v>290</v>
      </c>
      <c r="B4" s="32"/>
    </row>
    <row r="5" spans="1:2" s="35" customFormat="1" ht="15" customHeight="1" x14ac:dyDescent="0.25">
      <c r="A5" s="36" t="s">
        <v>291</v>
      </c>
      <c r="B5" s="32"/>
    </row>
    <row r="6" spans="1:2" s="35" customFormat="1" ht="15" customHeight="1" x14ac:dyDescent="0.25">
      <c r="A6" s="9"/>
      <c r="B6" s="32"/>
    </row>
  </sheetData>
  <hyperlinks>
    <hyperlink ref="A4" r:id="rId1" tooltip="Seleziona per saperne di più sulla community" display="http://go.microsoft.com/fwlink/?LinkId=844969" xr:uid="{00000000-0004-0000-0C00-000001000000}"/>
    <hyperlink ref="A5" r:id="rId2" tooltip="Seleziona per saperne di più sulle altre novità" display="http://go.microsoft.com/fwlink/?LinkId=846286" xr:uid="{00000000-0004-0000-0C00-000002000000}"/>
  </hyperlinks>
  <pageMargins left="0.7" right="0.7" top="0.75" bottom="0.75" header="0.3" footer="0.3"/>
  <pageSetup paperSize="9" orientation="landscape" r:id="rId3"/>
  <drawing r:id="rId4"/>
</worksheet>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Fogli di lavoro</vt:lpstr>
      </vt:variant>
      <vt:variant>
        <vt:i4>13</vt:i4>
      </vt:variant>
      <vt:variant>
        <vt:lpstr>Intervalli denominati</vt:lpstr>
      </vt:variant>
      <vt:variant>
        <vt:i4>15</vt:i4>
      </vt:variant>
    </vt:vector>
  </HeadingPairs>
  <TitlesOfParts>
    <vt:vector size="28" baseType="lpstr">
      <vt:lpstr>Inizio</vt:lpstr>
      <vt:lpstr>Concetti di base</vt:lpstr>
      <vt:lpstr>Introduzione alle funzioni</vt:lpstr>
      <vt:lpstr>MEDIA</vt:lpstr>
      <vt:lpstr>MIN e MAX</vt:lpstr>
      <vt:lpstr>Data e ora</vt:lpstr>
      <vt:lpstr>Unire testo e numeri</vt:lpstr>
      <vt:lpstr>Istruzioni SE</vt:lpstr>
      <vt:lpstr>CERCA.VERT</vt:lpstr>
      <vt:lpstr>Funzioni condizionali</vt:lpstr>
      <vt:lpstr>Creazione guidata Funzione</vt:lpstr>
      <vt:lpstr>Errori nelle formule</vt:lpstr>
      <vt:lpstr>Altre informazioni</vt:lpstr>
      <vt:lpstr>'Introduzione alle funzioni'!AltraFrutta</vt:lpstr>
      <vt:lpstr>'Introduzione alle funzioni'!AltriArticoli</vt:lpstr>
      <vt:lpstr>Arance</vt:lpstr>
      <vt:lpstr>'Introduzione alle funzioni'!Articoli</vt:lpstr>
      <vt:lpstr>Banane</vt:lpstr>
      <vt:lpstr>'Introduzione alle funzioni'!Carne</vt:lpstr>
      <vt:lpstr>'Introduzione alle funzioni'!CreditoExtra</vt:lpstr>
      <vt:lpstr>'Funzioni condizionali'!Estrai</vt:lpstr>
      <vt:lpstr>'Introduzione alle funzioni'!Frutta</vt:lpstr>
      <vt:lpstr>Limoni</vt:lpstr>
      <vt:lpstr>lst_Fruit</vt:lpstr>
      <vt:lpstr>lst_FruitType</vt:lpstr>
      <vt:lpstr>Mele</vt:lpstr>
      <vt:lpstr>'Introduzione alle funzioni'!SOMMACreditoExtra</vt:lpstr>
      <vt:lpstr>'Introduzione alle funzioni'!Totale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2026-06-18T23:32:08Z</dcterms:modified>
  <cp:category/>
  <cp:contentStatus/>
</cp:coreProperties>
</file>